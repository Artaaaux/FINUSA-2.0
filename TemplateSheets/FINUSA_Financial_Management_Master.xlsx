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PUT MASTER" state="visible" r:id="rId4"/>
    <sheet sheetId="2" name="OVERVIEW SATU TAHUN" state="visible" r:id="rId5"/>
  </sheets>
  <calcPr calcId="171027"/>
</workbook>
</file>

<file path=xl/sharedStrings.xml><?xml version="1.0" encoding="utf-8"?>
<sst xmlns="http://schemas.openxmlformats.org/spreadsheetml/2006/main" count="230" uniqueCount="128">
  <si>
    <t>FINANCIAL MANAGEMENT - INPUT MASTER BULANAN</t>
  </si>
  <si>
    <t>PERIODE ANGGARAN</t>
  </si>
  <si>
    <t>🍩 PROPORSI PEMASUKAN</t>
  </si>
  <si>
    <t>🍩 PROPORSI PENGELUARAN (THE BIG 3)</t>
  </si>
  <si>
    <t>Bulan</t>
  </si>
  <si>
    <t>September</t>
  </si>
  <si>
    <t>Tahun</t>
  </si>
  <si>
    <t>[ DIAGRAM DONAT: SUMBER PEMASUKAN ]</t>
  </si>
  <si>
    <t xml:space="preserve">[ DIAGRAM DONAT: KATEGORI PENGELUARAN ]
(Tempat Tinggal, Transportasi, Makanan, Gaya Hidup)</t>
  </si>
  <si>
    <t>RANGKUMAN ARUS KAS BULANAN</t>
  </si>
  <si>
    <t>1. Total Pendapatan</t>
  </si>
  <si>
    <t>2. Total Pengeluaran (Grant Sabatier)</t>
  </si>
  <si>
    <t>3. Total Investasi</t>
  </si>
  <si>
    <t>4. Total Cicilan &amp; Hutang</t>
  </si>
  <si>
    <t>5. Sisa Arus Kas / Tabungan Bersih</t>
  </si>
  <si>
    <t>Rasio Tabungan &amp; Investasi</t>
  </si>
  <si>
    <t>DAFTAR PEMASUKAN (INCOME)</t>
  </si>
  <si>
    <t>DAFTAR PENGELUARAN BULANAN (GRANT SABATIER)</t>
  </si>
  <si>
    <t/>
  </si>
  <si>
    <t>No</t>
  </si>
  <si>
    <t>Pilar Kategori</t>
  </si>
  <si>
    <t>Sub-Kategori / Pos Pengeluaran</t>
  </si>
  <si>
    <t>Tipe</t>
  </si>
  <si>
    <t>Nominal (Rp)</t>
  </si>
  <si>
    <t>Gaji Pokok / Uang Saku Utama</t>
  </si>
  <si>
    <t>Gaji Utama</t>
  </si>
  <si>
    <t>🏠 Tempat Tinggal</t>
  </si>
  <si>
    <t>Sewa Kos / Kontrakan / IPL</t>
  </si>
  <si>
    <t>Kebutuhan</t>
  </si>
  <si>
    <t>📊 DIAGRAM ARUS KAS BULANAN</t>
  </si>
  <si>
    <t>Tunjangan / Insentif / Bonus</t>
  </si>
  <si>
    <t>Listrik &amp; Token PLN</t>
  </si>
  <si>
    <t xml:space="preserve">[ AREA GRAFIK BATANG: ARUS KAS BULANAN ]
(Menampilkan visualisasi perbandingan Pendapatan, Pengeluaran, Investasi, dan Cicilan)</t>
  </si>
  <si>
    <t>Freelance / Side Project</t>
  </si>
  <si>
    <t>Freelance</t>
  </si>
  <si>
    <t>Air &amp; Gas Tabung</t>
  </si>
  <si>
    <t>Bisnis / Jualan / UMKM</t>
  </si>
  <si>
    <t>Bisnis</t>
  </si>
  <si>
    <t>Internet Wifi / Kuota Data</t>
  </si>
  <si>
    <t>Passive Income (Dividen/Bunga/Sewa)</t>
  </si>
  <si>
    <t>Passive Income</t>
  </si>
  <si>
    <t>Perlengkapan &amp; Kebersihan Rumah</t>
  </si>
  <si>
    <t>Lain-lain / Hadiah / Transfer</t>
  </si>
  <si>
    <t>Lainnya</t>
  </si>
  <si>
    <t>🚗 Transportasi</t>
  </si>
  <si>
    <t>Bahan Bakar (Bensin / Pertalite / Pertamax)</t>
  </si>
  <si>
    <t>Transportasi Umum / Ojek Online (Gojek/Grab)</t>
  </si>
  <si>
    <t>ALOKASI INVESTASI BULANAN</t>
  </si>
  <si>
    <t>Parkir, Tol &amp; Cuci Kendaraan</t>
  </si>
  <si>
    <t>Instrumen Investasi</t>
  </si>
  <si>
    <t>Kategori Aset</t>
  </si>
  <si>
    <t>Perawatan, Servis &amp; Ganti Oli</t>
  </si>
  <si>
    <t>Reksa Dana (Pasar Uang / Obligasi)</t>
  </si>
  <si>
    <t>Pasar Uang</t>
  </si>
  <si>
    <t>🍲 Makanan &amp; Minuman</t>
  </si>
  <si>
    <t>Belanja Bahan Makanan Pokok (Pasar/Supermarket)</t>
  </si>
  <si>
    <t>Saham / ETF (IHSG / Global)</t>
  </si>
  <si>
    <t>Ekuitas</t>
  </si>
  <si>
    <t>Makan Harian di Luar (Warteg/Kantin)</t>
  </si>
  <si>
    <t>Emas Fisik / Logam Mulia Digital</t>
  </si>
  <si>
    <t>Komoditas</t>
  </si>
  <si>
    <t>Kopi Susu, Camilan &amp; Jajan Sore (Latte Factor)</t>
  </si>
  <si>
    <t>Keinginan</t>
  </si>
  <si>
    <t>Surat Berharga Negara (SBN / Sukuk)</t>
  </si>
  <si>
    <t>Pendapatan Tetap</t>
  </si>
  <si>
    <t>Pesan Antar Makanan (ShopeeFood/GoFood)</t>
  </si>
  <si>
    <t>Aset Kripto / P2P / Lainnya</t>
  </si>
  <si>
    <t>Aset Alternatif</t>
  </si>
  <si>
    <t>💊 Kesehatan</t>
  </si>
  <si>
    <t>BPJS Kesehatan / Asuransi</t>
  </si>
  <si>
    <t>Obat-obatan, Vitamin &amp; Medis</t>
  </si>
  <si>
    <t>PELACAK CICILAN &amp; HUTANG BERJALAN</t>
  </si>
  <si>
    <t>Skincare &amp; Perawatan Tubuh</t>
  </si>
  <si>
    <t>Nama Cicilan / Kredit</t>
  </si>
  <si>
    <t>Sisa Tenor</t>
  </si>
  <si>
    <t>Cicilan / Bulan</t>
  </si>
  <si>
    <t>🎉 Gaya Hidup</t>
  </si>
  <si>
    <t>Langganan Digital (Netflix/Spotify/iCloud)</t>
  </si>
  <si>
    <t>KPR / Sewa Hunian Jangka Panjang</t>
  </si>
  <si>
    <t>120 Bulan</t>
  </si>
  <si>
    <t>Nongkrong, Hiburan &amp; Bioskop</t>
  </si>
  <si>
    <t>Kredit Kendaraan (Motor/Mobil)</t>
  </si>
  <si>
    <t>24 Bulan</t>
  </si>
  <si>
    <t>Belanja Pakaian &amp; Fashion Pribadi</t>
  </si>
  <si>
    <t>Kartu Kredit / Paylater</t>
  </si>
  <si>
    <t>Lunas Bulan Ini</t>
  </si>
  <si>
    <t>🤝 Sosial &amp; Donasi</t>
  </si>
  <si>
    <t>Uang Orang Tua / Keluarga (Sandwich Gen)</t>
  </si>
  <si>
    <t>Cicilan Gadget / Elektronik</t>
  </si>
  <si>
    <t>6 Bulan</t>
  </si>
  <si>
    <t>Zakat, Infaq, Sedekah &amp; Hadiah Teman</t>
  </si>
  <si>
    <t>Pinjaman Lainnya</t>
  </si>
  <si>
    <t>12 Bulan</t>
  </si>
  <si>
    <t>📦 Lain-lain</t>
  </si>
  <si>
    <t>Pengeluaran Tak Terduga / Darurat</t>
  </si>
  <si>
    <t>OVERVIEW TAHUNAN - LAPORAN ARUS KAS 12 BULAN</t>
  </si>
  <si>
    <t>TOTAL PENDAPATAN 1 TAHUN</t>
  </si>
  <si>
    <t>TOTAL PENGELUARAN 1 TAHUN</t>
  </si>
  <si>
    <t>TOTAL INVESTASI &amp; TABUNGAN</t>
  </si>
  <si>
    <t>Kategori Arus Kas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</si>
  <si>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</si>
  <si>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</si>
  <si>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</si>
  <si>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</si>
  <si>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</si>
  <si>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</si>
  <si>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</si>
  <si>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</si>
  <si>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</si>
  <si>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</si>
  <si>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</si>
  <si>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</si>
  <si>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TOTAL TAHUN</t>
  </si>
  <si>
    <t>RATA-RATA / BLN</t>
  </si>
  <si>
    <t>1. TOTAL PENDAPATAN (INCOME)</t>
  </si>
  <si>
    <t xml:space="preserve">   - Pemasukan Kas Bersih</t>
  </si>
  <si>
    <t>2. PENGELUARAN BULANAN (EXPENSES)</t>
  </si>
  <si>
    <t xml:space="preserve">   - 🏠 Tempat Tinggal &amp; Utilitas</t>
  </si>
  <si>
    <t xml:space="preserve">   - 🚗 Transportasi Harian</t>
  </si>
  <si>
    <t xml:space="preserve">   - 🍲 Makanan &amp; Minuman</t>
  </si>
  <si>
    <t xml:space="preserve">   - 💊 Kesehatan &amp; Perawatan</t>
  </si>
  <si>
    <t xml:space="preserve">   - 🎉 Gaya Hidup, Sosial &amp; Lainnya</t>
  </si>
  <si>
    <t xml:space="preserve">   TOTAL PENGELUARAN</t>
  </si>
  <si>
    <t>3. TOTAL INVESTASI (ASSETS)</t>
  </si>
  <si>
    <t xml:space="preserve">   - Reksadana, Saham, Emas, SBN</t>
  </si>
  <si>
    <t>4. TOTAL CICILAN &amp; HUTANG</t>
  </si>
  <si>
    <t xml:space="preserve">   - Cicilan Berjalan</t>
  </si>
  <si>
    <t>5. SISA ARUS KAS BERSIH (NET CASHFLOW)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</si>
</sst>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p &quot;#,##0"/>
    <numFmt numFmtId="165" formatCode="0.0%"/>
  </numFmts>
  <fonts count="2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9.5"/>
      <name val="Arial"/>
    </font>
    <font>
      <b/>
      <color rgb="FF566573"/>
      <sz val="9"/>
      <name val="Arial"/>
    </font>
    <font>
      <b/>
      <color rgb="FF1C2833"/>
      <sz val="10"/>
      <name val="Arial"/>
    </font>
    <font>
      <i/>
      <color rgb="FF566573"/>
      <sz val="9"/>
      <name val="Arial"/>
    </font>
    <font>
      <b/>
      <color rgb="FFFFFFFF"/>
      <sz val="10"/>
      <name val="Arial"/>
    </font>
    <font>
      <b/>
      <color rgb="FF2D5A43"/>
      <sz val="9.5"/>
      <name val="Arial"/>
    </font>
    <font>
      <b/>
      <color rgb="FF2D5A43"/>
      <sz val="10"/>
      <name val="Arial"/>
    </font>
    <font>
      <b/>
      <color rgb="FFA8483B"/>
      <sz val="9.5"/>
      <name val="Arial"/>
    </font>
    <font>
      <b/>
      <color rgb="FFA8483B"/>
      <sz val="10"/>
      <name val="Arial"/>
    </font>
    <font>
      <b/>
      <color rgb="FF2E6F9E"/>
      <sz val="9.5"/>
      <name val="Arial"/>
    </font>
    <font>
      <b/>
      <color rgb="FF2E6F9E"/>
      <sz val="10"/>
      <name val="Arial"/>
    </font>
    <font>
      <b/>
      <color rgb="FF9A6F1A"/>
      <sz val="9.5"/>
      <name val="Arial"/>
    </font>
    <font>
      <b/>
      <color rgb="FF9A6F1A"/>
      <sz val="10"/>
      <name val="Arial"/>
    </font>
    <font>
      <b/>
      <color rgb="FF2A3439"/>
      <sz val="9.5"/>
      <name val="Arial"/>
    </font>
    <font>
      <b/>
      <color rgb="FF2A3439"/>
      <sz val="10"/>
      <name val="Arial"/>
    </font>
    <font>
      <i/>
      <sz val="8.5"/>
      <name val="Arial"/>
    </font>
    <font>
      <b/>
      <sz val="9"/>
      <name val="Arial"/>
    </font>
    <font>
      <b/>
      <color rgb="FFA8483B"/>
      <sz val="9"/>
      <name val="Arial"/>
    </font>
    <font>
      <sz val="9"/>
      <name val="Arial"/>
    </font>
    <font>
      <b/>
      <color rgb="FF2E6F9E"/>
      <sz val="9"/>
      <name val="Arial"/>
    </font>
    <font>
      <b/>
      <color rgb="FF9A6F1A"/>
      <sz val="9"/>
      <name val="Arial"/>
    </font>
    <font>
      <b/>
      <color rgb="FF2D5A43"/>
      <sz val="16"/>
      <name val="Arial"/>
    </font>
    <font>
      <b/>
      <color rgb="FFA8483B"/>
      <sz val="16"/>
      <name val="Arial"/>
    </font>
    <font>
      <b/>
      <color rgb="FF2E6F9E"/>
      <sz val="16"/>
      <name val="Arial"/>
    </font>
    <font>
      <b/>
      <color rgb="FF2D5A43"/>
      <sz val="9"/>
      <name val="Arial"/>
    </font>
    <font>
      <color rgb="FF1C2833"/>
      <sz val="9"/>
      <name val="Arial"/>
    </font>
    <font>
      <b/>
      <color rgb="FF2A3439"/>
      <sz val="9"/>
      <name val="Arial"/>
    </font>
  </fonts>
  <fills count="12">
    <fill>
      <patternFill patternType="none"/>
    </fill>
    <fill>
      <patternFill patternType="gray125"/>
    </fill>
    <fill>
      <patternFill patternType="solid">
        <fgColor rgb="FF2A3439"/>
      </patternFill>
    </fill>
    <fill>
      <patternFill patternType="solid">
        <fgColor rgb="FF3D7053"/>
      </patternFill>
    </fill>
    <fill>
      <patternFill patternType="solid">
        <fgColor rgb="FFA8483B"/>
      </patternFill>
    </fill>
    <fill>
      <patternFill patternType="solid">
        <fgColor rgb="FFF4F6F7"/>
      </patternFill>
    </fill>
    <fill>
      <patternFill patternType="solid">
        <fgColor rgb="FFE8F2EB"/>
      </patternFill>
    </fill>
    <fill>
      <patternFill patternType="solid">
        <fgColor rgb="FFFBECE9"/>
      </patternFill>
    </fill>
    <fill>
      <patternFill patternType="solid">
        <fgColor rgb="FFEBF5FB"/>
      </patternFill>
    </fill>
    <fill>
      <patternFill patternType="solid">
        <fgColor rgb="FFFEF9E7"/>
      </patternFill>
    </fill>
    <fill>
      <patternFill patternType="solid">
        <fgColor rgb="FF2E6F9E"/>
      </patternFill>
    </fill>
    <fill>
      <patternFill patternType="solid">
        <fgColor rgb="FF9A6F1A"/>
      </patternFill>
    </fill>
  </fills>
  <borders count="2">
    <border>
      <left/>
      <right/>
      <top/>
      <bottom/>
      <diagonal/>
    </border>
    <border>
      <left style="thin">
        <color rgb="FFD5D8DC"/>
      </left>
      <right style="thin">
        <color rgb="FFD5D8DC"/>
      </right>
      <top style="thin">
        <color rgb="FFD5D8DC"/>
      </top>
      <bottom style="thin">
        <color rgb="FFD5D8DC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164" fontId="8" fillId="6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left" vertical="center"/>
    </xf>
    <xf numFmtId="164" fontId="10" fillId="7" borderId="1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164" fontId="12" fillId="8" borderId="1" xfId="0" applyNumberFormat="1" applyFont="1" applyFill="1" applyBorder="1" applyAlignment="1">
      <alignment horizontal="right" vertical="center"/>
    </xf>
    <xf numFmtId="0" fontId="13" fillId="9" borderId="1" xfId="0" applyFont="1" applyFill="1" applyBorder="1" applyAlignment="1">
      <alignment horizontal="left" vertical="center"/>
    </xf>
    <xf numFmtId="164" fontId="14" fillId="9" borderId="1" xfId="0" applyNumberFormat="1" applyFont="1" applyFill="1" applyBorder="1" applyAlignment="1">
      <alignment horizontal="right" vertical="center"/>
    </xf>
    <xf numFmtId="0" fontId="15" fillId="5" borderId="1" xfId="0" applyFont="1" applyFill="1" applyBorder="1" applyAlignment="1">
      <alignment horizontal="left" vertical="center"/>
    </xf>
    <xf numFmtId="164" fontId="16" fillId="5" borderId="1" xfId="0" applyNumberFormat="1" applyFont="1" applyFill="1" applyBorder="1" applyAlignment="1">
      <alignment horizontal="right" vertical="center"/>
    </xf>
    <xf numFmtId="0" fontId="17" fillId="0" borderId="1" xfId="0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/>
    </xf>
    <xf numFmtId="0" fontId="20" fillId="0" borderId="1" xfId="0" applyFont="1" applyBorder="1"/>
    <xf numFmtId="164" fontId="20" fillId="0" borderId="1" xfId="0" applyNumberFormat="1" applyFont="1" applyBorder="1"/>
    <xf numFmtId="0" fontId="20" fillId="5" borderId="1" xfId="0" applyFont="1" applyFill="1" applyBorder="1" applyAlignment="1">
      <alignment horizontal="center"/>
    </xf>
    <xf numFmtId="0" fontId="20" fillId="5" borderId="1" xfId="0" applyFont="1" applyFill="1" applyBorder="1"/>
    <xf numFmtId="164" fontId="20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/>
    </xf>
    <xf numFmtId="0" fontId="21" fillId="8" borderId="1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2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164" fontId="23" fillId="6" borderId="1" xfId="0" applyNumberFormat="1" applyFont="1" applyFill="1" applyBorder="1" applyAlignment="1">
      <alignment horizontal="center" vertical="center"/>
    </xf>
    <xf numFmtId="164" fontId="24" fillId="7" borderId="1" xfId="0" applyNumberFormat="1" applyFont="1" applyFill="1" applyBorder="1" applyAlignment="1">
      <alignment horizontal="center" vertical="center"/>
    </xf>
    <xf numFmtId="164" fontId="25" fillId="8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6" fillId="6" borderId="1" xfId="0" applyFont="1" applyFill="1" applyBorder="1"/>
    <xf numFmtId="0" fontId="0" fillId="6" borderId="1" xfId="0" applyFill="1" applyBorder="1"/>
    <xf numFmtId="0" fontId="0" fillId="0" borderId="1" xfId="0" applyBorder="1"/>
    <xf numFmtId="0" fontId="27" fillId="0" borderId="1" xfId="0" applyFont="1" applyBorder="1"/>
    <xf numFmtId="164" fontId="18" fillId="5" borderId="1" xfId="0" applyNumberFormat="1" applyFont="1" applyFill="1" applyBorder="1"/>
    <xf numFmtId="0" fontId="19" fillId="7" borderId="1" xfId="0" applyFont="1" applyFill="1" applyBorder="1"/>
    <xf numFmtId="0" fontId="0" fillId="7" borderId="1" xfId="0" applyFill="1" applyBorder="1"/>
    <xf numFmtId="164" fontId="19" fillId="7" borderId="1" xfId="0" applyNumberFormat="1" applyFont="1" applyFill="1" applyBorder="1"/>
    <xf numFmtId="0" fontId="21" fillId="8" borderId="1" xfId="0" applyFont="1" applyFill="1" applyBorder="1"/>
    <xf numFmtId="0" fontId="0" fillId="8" borderId="1" xfId="0" applyFill="1" applyBorder="1"/>
    <xf numFmtId="0" fontId="22" fillId="9" borderId="1" xfId="0" applyFont="1" applyFill="1" applyBorder="1"/>
    <xf numFmtId="0" fontId="0" fillId="9" borderId="1" xfId="0" applyFill="1" applyBorder="1"/>
    <xf numFmtId="0" fontId="28" fillId="5" borderId="1" xfId="0" applyFont="1" applyFill="1" applyBorder="1"/>
    <xf numFmtId="164" fontId="15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D7053"/>
  </sheetPr>
  <dimension ref="A1:M35"/>
  <sheetViews>
    <sheetView workbookViewId="0"/>
  </sheetViews>
  <sheetFormatPr defaultRowHeight="15" outlineLevelRow="0" outlineLevelCol="0" x14ac:dyDescent="55"/>
  <cols>
    <col min="1" max="1" width="7" customWidth="1"/>
    <col min="2" max="2" width="14" customWidth="1"/>
    <col min="3" max="3" width="12" customWidth="1"/>
    <col min="4" max="4" width="18" customWidth="1"/>
    <col min="5" max="5" width="5" customWidth="1"/>
    <col min="6" max="6" width="28" customWidth="1"/>
    <col min="7" max="7" width="16" customWidth="1"/>
    <col min="8" max="8" width="18" customWidth="1"/>
    <col min="9" max="9" width="5" customWidth="1"/>
    <col min="10" max="10" width="22" customWidth="1"/>
    <col min="11" max="11" width="34" customWidth="1"/>
    <col min="12" max="12" width="14" customWidth="1"/>
    <col min="13" max="13" width="18" customWidth="1"/>
  </cols>
  <sheetData>
    <row r="1" ht="30" customHeight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ht="22" customHeight="1" spans="1:13" x14ac:dyDescent="0.25">
      <c r="A3" s="2" t="s">
        <v>1</v>
      </c>
      <c r="B3" s="2"/>
      <c r="C3" s="2"/>
      <c r="D3" s="2"/>
      <c r="E3" s="3" t="s">
        <v>2</v>
      </c>
      <c r="F3" s="3"/>
      <c r="G3" s="3"/>
      <c r="H3" s="3"/>
      <c r="I3" s="4" t="s">
        <v>3</v>
      </c>
      <c r="J3" s="4"/>
      <c r="K3" s="4"/>
      <c r="L3" s="4"/>
      <c r="M3" s="4"/>
    </row>
    <row r="4" ht="24" customHeight="1" spans="1:13" x14ac:dyDescent="0.25">
      <c r="A4" s="5" t="s">
        <v>4</v>
      </c>
      <c r="B4" s="6" t="s">
        <v>5</v>
      </c>
      <c r="C4" s="5" t="s">
        <v>6</v>
      </c>
      <c r="D4" s="6">
        <v>2026</v>
      </c>
      <c r="E4" s="7" t="s">
        <v>7</v>
      </c>
      <c r="F4" s="7"/>
      <c r="G4" s="7"/>
      <c r="H4" s="7"/>
      <c r="I4" s="8" t="s">
        <v>8</v>
      </c>
      <c r="J4" s="8"/>
      <c r="K4" s="8"/>
      <c r="L4" s="8"/>
      <c r="M4" s="8"/>
    </row>
    <row r="5" spans="5:13" x14ac:dyDescent="0.25">
      <c r="E5" s="7"/>
      <c r="F5" s="7"/>
      <c r="G5" s="7"/>
      <c r="H5" s="7"/>
      <c r="I5" s="8"/>
      <c r="J5" s="8"/>
      <c r="K5" s="8"/>
      <c r="L5" s="8"/>
      <c r="M5" s="8"/>
    </row>
    <row r="6" ht="24" customHeight="1" spans="1:13" x14ac:dyDescent="0.25">
      <c r="A6" s="9" t="s">
        <v>9</v>
      </c>
      <c r="B6" s="9"/>
      <c r="C6" s="9"/>
      <c r="D6" s="9"/>
      <c r="E6" s="7"/>
      <c r="F6" s="7"/>
      <c r="G6" s="7"/>
      <c r="H6" s="7"/>
      <c r="I6" s="8"/>
      <c r="J6" s="8"/>
      <c r="K6" s="8"/>
      <c r="L6" s="8"/>
      <c r="M6" s="8"/>
    </row>
    <row r="7" ht="23" customHeight="1" spans="1:13" x14ac:dyDescent="0.25">
      <c r="A7" s="10" t="s">
        <v>10</v>
      </c>
      <c r="B7" s="10"/>
      <c r="C7" s="10"/>
      <c r="D7" s="11">
        <f>SUM(H14:H19)</f>
        <v>0</v>
      </c>
      <c r="E7" s="7"/>
      <c r="F7" s="7"/>
      <c r="G7" s="7"/>
      <c r="H7" s="7"/>
      <c r="I7" s="8"/>
      <c r="J7" s="8"/>
      <c r="K7" s="8"/>
      <c r="L7" s="8"/>
      <c r="M7" s="8"/>
    </row>
    <row r="8" ht="23" customHeight="1" spans="1:13" x14ac:dyDescent="0.25">
      <c r="A8" s="12" t="s">
        <v>11</v>
      </c>
      <c r="B8" s="12"/>
      <c r="C8" s="12"/>
      <c r="D8" s="13">
        <f>SUM(M14:M35)</f>
        <v>0</v>
      </c>
      <c r="E8" s="7"/>
      <c r="F8" s="7"/>
      <c r="G8" s="7"/>
      <c r="H8" s="7"/>
      <c r="I8" s="8"/>
      <c r="J8" s="8"/>
      <c r="K8" s="8"/>
      <c r="L8" s="8"/>
      <c r="M8" s="8"/>
    </row>
    <row r="9" ht="23" customHeight="1" spans="1:13" x14ac:dyDescent="0.25">
      <c r="A9" s="14" t="s">
        <v>12</v>
      </c>
      <c r="B9" s="14"/>
      <c r="C9" s="14"/>
      <c r="D9" s="15">
        <f>SUM(H23:H27)</f>
        <v>0</v>
      </c>
      <c r="E9" s="7"/>
      <c r="F9" s="7"/>
      <c r="G9" s="7"/>
      <c r="H9" s="7"/>
      <c r="I9" s="8"/>
      <c r="J9" s="8"/>
      <c r="K9" s="8"/>
      <c r="L9" s="8"/>
      <c r="M9" s="8"/>
    </row>
    <row r="10" ht="23" customHeight="1" spans="1:13" x14ac:dyDescent="0.25">
      <c r="A10" s="16" t="s">
        <v>13</v>
      </c>
      <c r="B10" s="16"/>
      <c r="C10" s="16"/>
      <c r="D10" s="17">
        <f>SUM(H31:H35)</f>
        <v>0</v>
      </c>
      <c r="E10" s="7"/>
      <c r="F10" s="7"/>
      <c r="G10" s="7"/>
      <c r="H10" s="7"/>
      <c r="I10" s="8"/>
      <c r="J10" s="8"/>
      <c r="K10" s="8"/>
      <c r="L10" s="8"/>
      <c r="M10" s="8"/>
    </row>
    <row r="11" ht="23" customHeight="1" spans="1:4" x14ac:dyDescent="0.25">
      <c r="A11" s="18" t="s">
        <v>14</v>
      </c>
      <c r="B11" s="18"/>
      <c r="C11" s="18"/>
      <c r="D11" s="19">
        <f>D7-(D8+D9+D10)</f>
        <v>0</v>
      </c>
    </row>
    <row r="12" ht="24" customHeight="1" spans="1:13" x14ac:dyDescent="0.25">
      <c r="A12" s="20" t="s">
        <v>15</v>
      </c>
      <c r="B12" s="20"/>
      <c r="C12" s="20"/>
      <c r="D12" s="21">
        <f>IFERROR((D9+D11)/D7, 0)</f>
        <v>0</v>
      </c>
      <c r="E12" s="22" t="s">
        <v>16</v>
      </c>
      <c r="F12" s="22"/>
      <c r="G12" s="22"/>
      <c r="H12" s="22"/>
      <c r="I12" s="23" t="s">
        <v>17</v>
      </c>
      <c r="J12" s="23"/>
      <c r="K12" s="23"/>
      <c r="L12" s="23"/>
      <c r="M12" s="23"/>
    </row>
    <row r="13" ht="22" customHeight="1" spans="1:13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s="24" t="s">
        <v>19</v>
      </c>
      <c r="J13" s="24" t="s">
        <v>20</v>
      </c>
      <c r="K13" s="24" t="s">
        <v>21</v>
      </c>
      <c r="L13" s="24" t="s">
        <v>22</v>
      </c>
      <c r="M13" s="24" t="s">
        <v>23</v>
      </c>
    </row>
    <row r="14" ht="20" customHeight="1" spans="5:13" x14ac:dyDescent="0.25">
      <c r="E14" s="25">
        <v>1</v>
      </c>
      <c r="F14" s="26" t="s">
        <v>24</v>
      </c>
      <c r="G14" s="26" t="s">
        <v>25</v>
      </c>
      <c r="H14" s="27">
        <v>0</v>
      </c>
      <c r="I14" s="25">
        <v>1</v>
      </c>
      <c r="J14" s="26" t="s">
        <v>26</v>
      </c>
      <c r="K14" s="26" t="s">
        <v>27</v>
      </c>
      <c r="L14" s="25" t="s">
        <v>28</v>
      </c>
      <c r="M14" s="27">
        <v>0</v>
      </c>
    </row>
    <row r="15" ht="20" customHeight="1" spans="1:13" x14ac:dyDescent="0.25">
      <c r="A15" s="2" t="s">
        <v>29</v>
      </c>
      <c r="B15" s="2"/>
      <c r="C15" s="2"/>
      <c r="D15" s="2"/>
      <c r="E15" s="28">
        <v>2</v>
      </c>
      <c r="F15" s="29" t="s">
        <v>30</v>
      </c>
      <c r="G15" s="29" t="s">
        <v>25</v>
      </c>
      <c r="H15" s="30">
        <v>0</v>
      </c>
      <c r="I15" s="28">
        <v>2</v>
      </c>
      <c r="J15" s="29" t="s">
        <v>26</v>
      </c>
      <c r="K15" s="29" t="s">
        <v>31</v>
      </c>
      <c r="L15" s="28" t="s">
        <v>28</v>
      </c>
      <c r="M15" s="30">
        <v>0</v>
      </c>
    </row>
    <row r="16" ht="20" customHeight="1" spans="1:13" x14ac:dyDescent="0.25">
      <c r="A16" s="31" t="s">
        <v>32</v>
      </c>
      <c r="B16" s="31"/>
      <c r="C16" s="31"/>
      <c r="D16" s="31"/>
      <c r="E16" s="25">
        <v>3</v>
      </c>
      <c r="F16" s="26" t="s">
        <v>33</v>
      </c>
      <c r="G16" s="26" t="s">
        <v>34</v>
      </c>
      <c r="H16" s="27">
        <v>0</v>
      </c>
      <c r="I16" s="25">
        <v>3</v>
      </c>
      <c r="J16" s="26" t="s">
        <v>26</v>
      </c>
      <c r="K16" s="26" t="s">
        <v>35</v>
      </c>
      <c r="L16" s="25" t="s">
        <v>28</v>
      </c>
      <c r="M16" s="27">
        <v>0</v>
      </c>
    </row>
    <row r="17" ht="20" customHeight="1" spans="1:13" x14ac:dyDescent="0.25">
      <c r="A17" s="31"/>
      <c r="B17" s="31"/>
      <c r="C17" s="31"/>
      <c r="D17" s="31"/>
      <c r="E17" s="28">
        <v>4</v>
      </c>
      <c r="F17" s="29" t="s">
        <v>36</v>
      </c>
      <c r="G17" s="29" t="s">
        <v>37</v>
      </c>
      <c r="H17" s="30">
        <v>0</v>
      </c>
      <c r="I17" s="28">
        <v>4</v>
      </c>
      <c r="J17" s="29" t="s">
        <v>26</v>
      </c>
      <c r="K17" s="29" t="s">
        <v>38</v>
      </c>
      <c r="L17" s="28" t="s">
        <v>28</v>
      </c>
      <c r="M17" s="30">
        <v>0</v>
      </c>
    </row>
    <row r="18" ht="20" customHeight="1" spans="1:13" x14ac:dyDescent="0.25">
      <c r="A18" s="31"/>
      <c r="B18" s="31"/>
      <c r="C18" s="31"/>
      <c r="D18" s="31"/>
      <c r="E18" s="25">
        <v>5</v>
      </c>
      <c r="F18" s="26" t="s">
        <v>39</v>
      </c>
      <c r="G18" s="26" t="s">
        <v>40</v>
      </c>
      <c r="H18" s="27">
        <v>0</v>
      </c>
      <c r="I18" s="25">
        <v>5</v>
      </c>
      <c r="J18" s="26" t="s">
        <v>26</v>
      </c>
      <c r="K18" s="26" t="s">
        <v>41</v>
      </c>
      <c r="L18" s="25" t="s">
        <v>28</v>
      </c>
      <c r="M18" s="27">
        <v>0</v>
      </c>
    </row>
    <row r="19" ht="20" customHeight="1" spans="1:13" x14ac:dyDescent="0.25">
      <c r="A19" s="31"/>
      <c r="B19" s="31"/>
      <c r="C19" s="31"/>
      <c r="D19" s="31"/>
      <c r="E19" s="28">
        <v>6</v>
      </c>
      <c r="F19" s="29" t="s">
        <v>42</v>
      </c>
      <c r="G19" s="29" t="s">
        <v>43</v>
      </c>
      <c r="H19" s="30">
        <v>0</v>
      </c>
      <c r="I19" s="28">
        <v>6</v>
      </c>
      <c r="J19" s="29" t="s">
        <v>44</v>
      </c>
      <c r="K19" s="29" t="s">
        <v>45</v>
      </c>
      <c r="L19" s="28" t="s">
        <v>28</v>
      </c>
      <c r="M19" s="30">
        <v>0</v>
      </c>
    </row>
    <row r="20" ht="20" customHeight="1" spans="1:13" x14ac:dyDescent="0.25">
      <c r="A20" s="31"/>
      <c r="B20" s="31"/>
      <c r="C20" s="31"/>
      <c r="D20" s="31"/>
      <c r="I20" s="25">
        <v>7</v>
      </c>
      <c r="J20" s="26" t="s">
        <v>44</v>
      </c>
      <c r="K20" s="26" t="s">
        <v>46</v>
      </c>
      <c r="L20" s="25" t="s">
        <v>28</v>
      </c>
      <c r="M20" s="27">
        <v>0</v>
      </c>
    </row>
    <row r="21" ht="20" customHeight="1" spans="1:13" x14ac:dyDescent="0.25">
      <c r="A21" s="31"/>
      <c r="B21" s="31"/>
      <c r="C21" s="31"/>
      <c r="D21" s="31"/>
      <c r="E21" s="32" t="s">
        <v>47</v>
      </c>
      <c r="F21" s="32"/>
      <c r="G21" s="32"/>
      <c r="H21" s="32"/>
      <c r="I21" s="28">
        <v>8</v>
      </c>
      <c r="J21" s="29" t="s">
        <v>44</v>
      </c>
      <c r="K21" s="29" t="s">
        <v>48</v>
      </c>
      <c r="L21" s="28" t="s">
        <v>28</v>
      </c>
      <c r="M21" s="30">
        <v>0</v>
      </c>
    </row>
    <row r="22" ht="20" customHeight="1" spans="1:13" x14ac:dyDescent="0.25">
      <c r="A22" t="s">
        <v>18</v>
      </c>
      <c r="B22" t="s">
        <v>18</v>
      </c>
      <c r="C22" t="s">
        <v>18</v>
      </c>
      <c r="D22" t="s">
        <v>18</v>
      </c>
      <c r="E22" s="33" t="s">
        <v>19</v>
      </c>
      <c r="F22" s="33" t="s">
        <v>49</v>
      </c>
      <c r="G22" s="33" t="s">
        <v>50</v>
      </c>
      <c r="H22" s="33" t="s">
        <v>23</v>
      </c>
      <c r="I22" s="25">
        <v>9</v>
      </c>
      <c r="J22" s="26" t="s">
        <v>44</v>
      </c>
      <c r="K22" s="26" t="s">
        <v>51</v>
      </c>
      <c r="L22" s="25" t="s">
        <v>28</v>
      </c>
      <c r="M22" s="27">
        <v>0</v>
      </c>
    </row>
    <row r="23" ht="20" customHeight="1" spans="1:13" x14ac:dyDescent="0.25">
      <c r="A23" s="31"/>
      <c r="B23" s="31"/>
      <c r="C23" s="31"/>
      <c r="D23" s="31"/>
      <c r="E23" s="25">
        <v>1</v>
      </c>
      <c r="F23" s="26" t="s">
        <v>52</v>
      </c>
      <c r="G23" s="26" t="s">
        <v>53</v>
      </c>
      <c r="H23" s="27">
        <v>0</v>
      </c>
      <c r="I23" s="28">
        <v>10</v>
      </c>
      <c r="J23" s="29" t="s">
        <v>54</v>
      </c>
      <c r="K23" s="29" t="s">
        <v>55</v>
      </c>
      <c r="L23" s="28" t="s">
        <v>28</v>
      </c>
      <c r="M23" s="30">
        <v>0</v>
      </c>
    </row>
    <row r="24" ht="20" customHeight="1" spans="1:13" x14ac:dyDescent="0.25">
      <c r="A24" s="31"/>
      <c r="B24" s="31"/>
      <c r="C24" s="31"/>
      <c r="D24" s="31"/>
      <c r="E24" s="28">
        <v>2</v>
      </c>
      <c r="F24" s="29" t="s">
        <v>56</v>
      </c>
      <c r="G24" s="29" t="s">
        <v>57</v>
      </c>
      <c r="H24" s="30">
        <v>0</v>
      </c>
      <c r="I24" s="25">
        <v>11</v>
      </c>
      <c r="J24" s="26" t="s">
        <v>54</v>
      </c>
      <c r="K24" s="26" t="s">
        <v>58</v>
      </c>
      <c r="L24" s="25" t="s">
        <v>28</v>
      </c>
      <c r="M24" s="27">
        <v>0</v>
      </c>
    </row>
    <row r="25" ht="20" customHeight="1" spans="1:13" x14ac:dyDescent="0.25">
      <c r="A25" s="31"/>
      <c r="B25" s="31"/>
      <c r="C25" s="31"/>
      <c r="D25" s="31"/>
      <c r="E25" s="25">
        <v>3</v>
      </c>
      <c r="F25" s="26" t="s">
        <v>59</v>
      </c>
      <c r="G25" s="26" t="s">
        <v>60</v>
      </c>
      <c r="H25" s="27">
        <v>0</v>
      </c>
      <c r="I25" s="28">
        <v>12</v>
      </c>
      <c r="J25" s="29" t="s">
        <v>54</v>
      </c>
      <c r="K25" s="29" t="s">
        <v>61</v>
      </c>
      <c r="L25" s="28" t="s">
        <v>62</v>
      </c>
      <c r="M25" s="30">
        <v>0</v>
      </c>
    </row>
    <row r="26" ht="20" customHeight="1" spans="1:13" x14ac:dyDescent="0.25">
      <c r="A26" s="31"/>
      <c r="B26" s="31"/>
      <c r="C26" s="31"/>
      <c r="D26" s="31"/>
      <c r="E26" s="28">
        <v>4</v>
      </c>
      <c r="F26" s="29" t="s">
        <v>63</v>
      </c>
      <c r="G26" s="29" t="s">
        <v>64</v>
      </c>
      <c r="H26" s="30">
        <v>0</v>
      </c>
      <c r="I26" s="25">
        <v>13</v>
      </c>
      <c r="J26" s="26" t="s">
        <v>54</v>
      </c>
      <c r="K26" s="26" t="s">
        <v>65</v>
      </c>
      <c r="L26" s="25" t="s">
        <v>62</v>
      </c>
      <c r="M26" s="27">
        <v>0</v>
      </c>
    </row>
    <row r="27" ht="20" customHeight="1" spans="1:13" x14ac:dyDescent="0.25">
      <c r="A27" s="31"/>
      <c r="B27" s="31"/>
      <c r="C27" s="31"/>
      <c r="D27" s="31"/>
      <c r="E27" s="25">
        <v>5</v>
      </c>
      <c r="F27" s="26" t="s">
        <v>66</v>
      </c>
      <c r="G27" s="26" t="s">
        <v>67</v>
      </c>
      <c r="H27" s="27">
        <v>0</v>
      </c>
      <c r="I27" s="28">
        <v>14</v>
      </c>
      <c r="J27" s="29" t="s">
        <v>68</v>
      </c>
      <c r="K27" s="29" t="s">
        <v>69</v>
      </c>
      <c r="L27" s="28" t="s">
        <v>28</v>
      </c>
      <c r="M27" s="30">
        <v>0</v>
      </c>
    </row>
    <row r="28" ht="20" customHeight="1" spans="1:13" x14ac:dyDescent="0.25">
      <c r="A28" s="31"/>
      <c r="B28" s="31"/>
      <c r="C28" s="31"/>
      <c r="D28" s="31"/>
      <c r="I28" s="25">
        <v>15</v>
      </c>
      <c r="J28" s="26" t="s">
        <v>68</v>
      </c>
      <c r="K28" s="26" t="s">
        <v>70</v>
      </c>
      <c r="L28" s="25" t="s">
        <v>28</v>
      </c>
      <c r="M28" s="27">
        <v>0</v>
      </c>
    </row>
    <row r="29" ht="20" customHeight="1" spans="5:13" x14ac:dyDescent="0.25">
      <c r="E29" s="34" t="s">
        <v>71</v>
      </c>
      <c r="F29" s="34"/>
      <c r="G29" s="34"/>
      <c r="H29" s="34"/>
      <c r="I29" s="28">
        <v>16</v>
      </c>
      <c r="J29" s="29" t="s">
        <v>68</v>
      </c>
      <c r="K29" s="29" t="s">
        <v>72</v>
      </c>
      <c r="L29" s="28" t="s">
        <v>28</v>
      </c>
      <c r="M29" s="30">
        <v>0</v>
      </c>
    </row>
    <row r="30" ht="20" customHeight="1" spans="1:13" x14ac:dyDescent="0.25">
      <c r="A30" t="s">
        <v>18</v>
      </c>
      <c r="B30" t="s">
        <v>18</v>
      </c>
      <c r="C30" t="s">
        <v>18</v>
      </c>
      <c r="D30" t="s">
        <v>18</v>
      </c>
      <c r="E30" s="35" t="s">
        <v>19</v>
      </c>
      <c r="F30" s="35" t="s">
        <v>73</v>
      </c>
      <c r="G30" s="35" t="s">
        <v>74</v>
      </c>
      <c r="H30" s="35" t="s">
        <v>75</v>
      </c>
      <c r="I30" s="25">
        <v>17</v>
      </c>
      <c r="J30" s="26" t="s">
        <v>76</v>
      </c>
      <c r="K30" s="26" t="s">
        <v>77</v>
      </c>
      <c r="L30" s="25" t="s">
        <v>62</v>
      </c>
      <c r="M30" s="27">
        <v>0</v>
      </c>
    </row>
    <row r="31" ht="20" customHeight="1" spans="5:13" x14ac:dyDescent="0.25">
      <c r="E31" s="25">
        <v>1</v>
      </c>
      <c r="F31" s="26" t="s">
        <v>78</v>
      </c>
      <c r="G31" s="25" t="s">
        <v>79</v>
      </c>
      <c r="H31" s="27">
        <v>0</v>
      </c>
      <c r="I31" s="28">
        <v>18</v>
      </c>
      <c r="J31" s="29" t="s">
        <v>76</v>
      </c>
      <c r="K31" s="29" t="s">
        <v>80</v>
      </c>
      <c r="L31" s="28" t="s">
        <v>62</v>
      </c>
      <c r="M31" s="30">
        <v>0</v>
      </c>
    </row>
    <row r="32" ht="20" customHeight="1" spans="5:13" x14ac:dyDescent="0.25">
      <c r="E32" s="28">
        <v>2</v>
      </c>
      <c r="F32" s="29" t="s">
        <v>81</v>
      </c>
      <c r="G32" s="28" t="s">
        <v>82</v>
      </c>
      <c r="H32" s="30">
        <v>0</v>
      </c>
      <c r="I32" s="25">
        <v>19</v>
      </c>
      <c r="J32" s="26" t="s">
        <v>76</v>
      </c>
      <c r="K32" s="26" t="s">
        <v>83</v>
      </c>
      <c r="L32" s="25" t="s">
        <v>62</v>
      </c>
      <c r="M32" s="27">
        <v>0</v>
      </c>
    </row>
    <row r="33" ht="20" customHeight="1" spans="5:13" x14ac:dyDescent="0.25">
      <c r="E33" s="25">
        <v>3</v>
      </c>
      <c r="F33" s="26" t="s">
        <v>84</v>
      </c>
      <c r="G33" s="25" t="s">
        <v>85</v>
      </c>
      <c r="H33" s="27">
        <v>0</v>
      </c>
      <c r="I33" s="28">
        <v>20</v>
      </c>
      <c r="J33" s="29" t="s">
        <v>86</v>
      </c>
      <c r="K33" s="29" t="s">
        <v>87</v>
      </c>
      <c r="L33" s="28" t="s">
        <v>28</v>
      </c>
      <c r="M33" s="30">
        <v>0</v>
      </c>
    </row>
    <row r="34" ht="20" customHeight="1" spans="5:13" x14ac:dyDescent="0.25">
      <c r="E34" s="28">
        <v>4</v>
      </c>
      <c r="F34" s="29" t="s">
        <v>88</v>
      </c>
      <c r="G34" s="28" t="s">
        <v>89</v>
      </c>
      <c r="H34" s="30">
        <v>0</v>
      </c>
      <c r="I34" s="25">
        <v>21</v>
      </c>
      <c r="J34" s="26" t="s">
        <v>86</v>
      </c>
      <c r="K34" s="26" t="s">
        <v>90</v>
      </c>
      <c r="L34" s="25" t="s">
        <v>28</v>
      </c>
      <c r="M34" s="27">
        <v>0</v>
      </c>
    </row>
    <row r="35" ht="20" customHeight="1" spans="5:13" x14ac:dyDescent="0.25">
      <c r="E35" s="25">
        <v>5</v>
      </c>
      <c r="F35" s="26" t="s">
        <v>91</v>
      </c>
      <c r="G35" s="25" t="s">
        <v>92</v>
      </c>
      <c r="H35" s="27">
        <v>0</v>
      </c>
      <c r="I35" s="28">
        <v>22</v>
      </c>
      <c r="J35" s="29" t="s">
        <v>93</v>
      </c>
      <c r="K35" s="29" t="s">
        <v>94</v>
      </c>
      <c r="L35" s="28" t="s">
        <v>28</v>
      </c>
      <c r="M35" s="30">
        <v>0</v>
      </c>
    </row>
  </sheetData>
  <mergeCells count="19">
    <mergeCell ref="A1:M1"/>
    <mergeCell ref="A3:D3"/>
    <mergeCell ref="E3:H3"/>
    <mergeCell ref="I3:M3"/>
    <mergeCell ref="E4:H10"/>
    <mergeCell ref="I4:M10"/>
    <mergeCell ref="A6:D6"/>
    <mergeCell ref="A7:C7"/>
    <mergeCell ref="A8:C8"/>
    <mergeCell ref="A9:C9"/>
    <mergeCell ref="A10:C10"/>
    <mergeCell ref="A11:C11"/>
    <mergeCell ref="A12:C12"/>
    <mergeCell ref="E12:H12"/>
    <mergeCell ref="I12:M12"/>
    <mergeCell ref="A15:D15"/>
    <mergeCell ref="A16:D28"/>
    <mergeCell ref="E21:H21"/>
    <mergeCell ref="E29:H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6F9E"/>
  </sheetPr>
  <dimension ref="A1:P22"/>
  <sheetViews>
    <sheetView workbookViewId="0"/>
  </sheetViews>
  <sheetFormatPr defaultRowHeight="15" outlineLevelRow="0" outlineLevelCol="0" x14ac:dyDescent="55"/>
  <cols>
    <col min="1" max="1" width="34" customWidth="1"/>
    <col min="2" max="13" width="14" customWidth="1"/>
    <col min="14" max="15" width="18" customWidth="1"/>
  </cols>
  <sheetData>
    <row r="1" ht="30" customHeight="1" spans="1:16" x14ac:dyDescent="0.25">
      <c r="A1" s="1" t="s">
        <v>95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3" ht="20" customHeight="1" spans="2:15" x14ac:dyDescent="0.25">
      <c r="B3" s="36" t="s">
        <v>96</v>
      </c>
      <c r="C3" s="36"/>
      <c r="D3" s="36"/>
      <c r="E3" s="36"/>
      <c r="G3" s="37" t="s">
        <v>97</v>
      </c>
      <c r="H3" s="37"/>
      <c r="I3" s="37"/>
      <c r="J3" s="37"/>
      <c r="L3" s="38" t="s">
        <v>98</v>
      </c>
      <c r="M3" s="38"/>
      <c r="N3" s="38"/>
      <c r="O3" s="38"/>
    </row>
    <row r="4" ht="20" customHeight="1" spans="2:15" x14ac:dyDescent="0.25">
      <c r="B4" s="39">
        <f>SUM(B10:M10)</f>
        <v>0</v>
      </c>
      <c r="C4" s="39"/>
      <c r="D4" s="39"/>
      <c r="E4" s="39"/>
      <c r="G4" s="40">
        <f>SUM(B18:M18)</f>
        <v>0</v>
      </c>
      <c r="H4" s="40"/>
      <c r="I4" s="40"/>
      <c r="J4" s="40"/>
      <c r="L4" s="41">
        <f>SUM(B19:M19)+SUM(B21:M21)</f>
        <v>0</v>
      </c>
      <c r="M4" s="41"/>
      <c r="N4" s="41"/>
      <c r="O4" s="41"/>
    </row>
    <row r="5" ht="20" customHeight="1" spans="2:15" x14ac:dyDescent="0.25">
      <c r="B5" s="39"/>
      <c r="C5" s="39"/>
      <c r="D5" s="39"/>
      <c r="E5" s="39"/>
      <c r="G5" s="40"/>
      <c r="H5" s="40"/>
      <c r="I5" s="40"/>
      <c r="J5" s="40"/>
      <c r="L5" s="41"/>
      <c r="M5" s="41"/>
      <c r="N5" s="41"/>
      <c r="O5" s="41"/>
    </row>
    <row r="8" ht="26" customHeight="1" spans="1:15" x14ac:dyDescent="0.25">
      <c r="A8" s="42" t="s">
        <v>99</v>
      </c>
      <c r="B8" s="43" t="s">
        <v>100</v>
      </c>
      <c r="C8" s="43" t="s">
        <v>101</v>
      </c>
      <c r="D8" s="43" t="s">
        <v>102</v>
      </c>
      <c r="E8" s="43" t="s">
        <v>103</v>
      </c>
      <c r="F8" s="43" t="s">
        <v>104</v>
      </c>
      <c r="G8" s="43" t="s">
        <v>105</v>
      </c>
      <c r="H8" s="43" t="s">
        <v>106</v>
      </c>
      <c r="I8" s="43" t="s">
        <v>107</v>
      </c>
      <c r="J8" s="43" t="s">
        <v>108</v>
      </c>
      <c r="K8" s="43" t="s">
        <v>109</v>
      </c>
      <c r="L8" s="43" t="s">
        <v>110</v>
      </c>
      <c r="M8" s="43" t="s">
        <v>111</v>
      </c>
      <c r="N8" s="43" t="s">
        <v>112</v>
      </c>
      <c r="O8" s="43" t="s">
        <v>113</v>
      </c>
    </row>
    <row r="9" ht="21" customHeight="1" spans="1:15" x14ac:dyDescent="0.25">
      <c r="A9" s="44" t="s">
        <v>114</v>
      </c>
      <c r="B9" s="45" t="s">
        <v>18</v>
      </c>
      <c r="C9" s="45" t="s">
        <v>18</v>
      </c>
      <c r="D9" s="45" t="s">
        <v>18</v>
      </c>
      <c r="E9" s="45" t="s">
        <v>18</v>
      </c>
      <c r="F9" s="45" t="s">
        <v>18</v>
      </c>
      <c r="G9" s="45" t="s">
        <v>18</v>
      </c>
      <c r="H9" s="45" t="s">
        <v>18</v>
      </c>
      <c r="I9" s="45" t="s">
        <v>18</v>
      </c>
      <c r="J9" s="45" t="s">
        <v>18</v>
      </c>
      <c r="K9" s="45" t="s">
        <v>18</v>
      </c>
      <c r="L9" s="45" t="s">
        <v>18</v>
      </c>
      <c r="M9" s="45" t="s">
        <v>18</v>
      </c>
      <c r="N9" s="46"/>
      <c r="O9" s="46"/>
    </row>
    <row r="10" ht="21" customHeight="1" spans="1:15" x14ac:dyDescent="0.25">
      <c r="A10" s="47" t="s">
        <v>115</v>
      </c>
      <c r="B10" s="27">
        <v>0</v>
      </c>
      <c r="C10" s="27">
        <v>0</v>
      </c>
      <c r="D10" s="27">
        <v>0</v>
      </c>
      <c r="E10" s="27">
        <v>0</v>
      </c>
      <c r="F10" s="27">
        <v>0</v>
      </c>
      <c r="G10" s="27">
        <v>0</v>
      </c>
      <c r="H10" s="27">
        <v>0</v>
      </c>
      <c r="I10" s="27">
        <v>0</v>
      </c>
      <c r="J10" s="27">
        <f>'INPUT MASTER'!D7</f>
        <v>0</v>
      </c>
      <c r="K10" s="27">
        <v>0</v>
      </c>
      <c r="L10" s="27">
        <v>0</v>
      </c>
      <c r="M10" s="27">
        <v>0</v>
      </c>
      <c r="N10" s="48">
        <f>SUM(B10:M10)</f>
        <v>0</v>
      </c>
      <c r="O10" s="48">
        <f>AVERAGE(B10:M10)</f>
        <v>0</v>
      </c>
    </row>
    <row r="11" ht="21" customHeight="1" spans="1:15" x14ac:dyDescent="0.25">
      <c r="A11" s="49" t="s">
        <v>116</v>
      </c>
      <c r="B11" s="50" t="s">
        <v>18</v>
      </c>
      <c r="C11" s="50" t="s">
        <v>18</v>
      </c>
      <c r="D11" s="50" t="s">
        <v>18</v>
      </c>
      <c r="E11" s="50" t="s">
        <v>18</v>
      </c>
      <c r="F11" s="50" t="s">
        <v>18</v>
      </c>
      <c r="G11" s="50" t="s">
        <v>18</v>
      </c>
      <c r="H11" s="50" t="s">
        <v>18</v>
      </c>
      <c r="I11" s="50" t="s">
        <v>18</v>
      </c>
      <c r="J11" s="50" t="s">
        <v>18</v>
      </c>
      <c r="K11" s="50" t="s">
        <v>18</v>
      </c>
      <c r="L11" s="50" t="s">
        <v>18</v>
      </c>
      <c r="M11" s="50" t="s">
        <v>18</v>
      </c>
      <c r="N11" s="46"/>
      <c r="O11" s="46"/>
    </row>
    <row r="12" ht="21" customHeight="1" spans="1:15" x14ac:dyDescent="0.25">
      <c r="A12" s="47" t="s">
        <v>117</v>
      </c>
      <c r="B12" s="27">
        <v>0</v>
      </c>
      <c r="C12" s="27">
        <v>0</v>
      </c>
      <c r="D12" s="27">
        <v>0</v>
      </c>
      <c r="E12" s="27">
        <v>0</v>
      </c>
      <c r="F12" s="27">
        <v>0</v>
      </c>
      <c r="G12" s="27">
        <v>0</v>
      </c>
      <c r="H12" s="27">
        <v>0</v>
      </c>
      <c r="I12" s="27">
        <v>0</v>
      </c>
      <c r="J12" s="27">
        <f>SUM('INPUT MASTER'!M14:M18)</f>
        <v>0</v>
      </c>
      <c r="K12" s="27">
        <v>0</v>
      </c>
      <c r="L12" s="27">
        <v>0</v>
      </c>
      <c r="M12" s="27">
        <v>0</v>
      </c>
      <c r="N12" s="48">
        <f>SUM(B12:M12)</f>
        <v>0</v>
      </c>
      <c r="O12" s="48">
        <f>AVERAGE(B12:M12)</f>
        <v>0</v>
      </c>
    </row>
    <row r="13" ht="21" customHeight="1" spans="1:15" x14ac:dyDescent="0.25">
      <c r="A13" s="47" t="s">
        <v>118</v>
      </c>
      <c r="B13" s="27">
        <v>0</v>
      </c>
      <c r="C13" s="27">
        <v>0</v>
      </c>
      <c r="D13" s="27">
        <v>0</v>
      </c>
      <c r="E13" s="27">
        <v>0</v>
      </c>
      <c r="F13" s="27">
        <v>0</v>
      </c>
      <c r="G13" s="27">
        <v>0</v>
      </c>
      <c r="H13" s="27">
        <v>0</v>
      </c>
      <c r="I13" s="27">
        <v>0</v>
      </c>
      <c r="J13" s="27">
        <f>SUM('INPUT MASTER'!M19:M22)</f>
        <v>0</v>
      </c>
      <c r="K13" s="27">
        <v>0</v>
      </c>
      <c r="L13" s="27">
        <v>0</v>
      </c>
      <c r="M13" s="27">
        <v>0</v>
      </c>
      <c r="N13" s="48">
        <f>SUM(B13:M13)</f>
        <v>0</v>
      </c>
      <c r="O13" s="48">
        <f>AVERAGE(B13:M13)</f>
        <v>0</v>
      </c>
    </row>
    <row r="14" ht="21" customHeight="1" spans="1:15" x14ac:dyDescent="0.25">
      <c r="A14" s="47" t="s">
        <v>119</v>
      </c>
      <c r="B14" s="27">
        <v>0</v>
      </c>
      <c r="C14" s="27">
        <v>0</v>
      </c>
      <c r="D14" s="27">
        <v>0</v>
      </c>
      <c r="E14" s="27">
        <v>0</v>
      </c>
      <c r="F14" s="27">
        <v>0</v>
      </c>
      <c r="G14" s="27">
        <v>0</v>
      </c>
      <c r="H14" s="27">
        <v>0</v>
      </c>
      <c r="I14" s="27">
        <v>0</v>
      </c>
      <c r="J14" s="27">
        <f>SUM('INPUT MASTER'!M23:M26)</f>
        <v>0</v>
      </c>
      <c r="K14" s="27">
        <v>0</v>
      </c>
      <c r="L14" s="27">
        <v>0</v>
      </c>
      <c r="M14" s="27">
        <v>0</v>
      </c>
      <c r="N14" s="48">
        <f>SUM(B14:M14)</f>
        <v>0</v>
      </c>
      <c r="O14" s="48">
        <f>AVERAGE(B14:M14)</f>
        <v>0</v>
      </c>
    </row>
    <row r="15" ht="21" customHeight="1" spans="1:15" x14ac:dyDescent="0.25">
      <c r="A15" s="47" t="s">
        <v>120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7">
        <v>0</v>
      </c>
      <c r="H15" s="27">
        <v>0</v>
      </c>
      <c r="I15" s="27">
        <v>0</v>
      </c>
      <c r="J15" s="27">
        <f>SUM('INPUT MASTER'!M27:M29)</f>
        <v>0</v>
      </c>
      <c r="K15" s="27">
        <v>0</v>
      </c>
      <c r="L15" s="27">
        <v>0</v>
      </c>
      <c r="M15" s="27">
        <v>0</v>
      </c>
      <c r="N15" s="48">
        <f>SUM(B15:M15)</f>
        <v>0</v>
      </c>
      <c r="O15" s="48">
        <f>AVERAGE(B15:M15)</f>
        <v>0</v>
      </c>
    </row>
    <row r="16" ht="21" customHeight="1" spans="1:15" x14ac:dyDescent="0.25">
      <c r="A16" s="47" t="s">
        <v>121</v>
      </c>
      <c r="B16" s="27">
        <v>0</v>
      </c>
      <c r="C16" s="27">
        <v>0</v>
      </c>
      <c r="D16" s="27">
        <v>0</v>
      </c>
      <c r="E16" s="27">
        <v>0</v>
      </c>
      <c r="F16" s="27">
        <v>0</v>
      </c>
      <c r="G16" s="27">
        <v>0</v>
      </c>
      <c r="H16" s="27">
        <v>0</v>
      </c>
      <c r="I16" s="27">
        <v>0</v>
      </c>
      <c r="J16" s="27">
        <f>SUM('INPUT MASTER'!M30:M35)</f>
        <v>0</v>
      </c>
      <c r="K16" s="27">
        <v>0</v>
      </c>
      <c r="L16" s="27">
        <v>0</v>
      </c>
      <c r="M16" s="27">
        <v>0</v>
      </c>
      <c r="N16" s="48">
        <f>SUM(B16:M16)</f>
        <v>0</v>
      </c>
      <c r="O16" s="48">
        <f>AVERAGE(B16:M16)</f>
        <v>0</v>
      </c>
    </row>
    <row r="17" ht="21" customHeight="1" spans="1:15" x14ac:dyDescent="0.25">
      <c r="A17" s="49" t="s">
        <v>122</v>
      </c>
      <c r="B17" s="51">
        <f>SUM(B12:B16)</f>
        <v>0</v>
      </c>
      <c r="C17" s="51">
        <f>SUM(C12:C16)</f>
        <v>0</v>
      </c>
      <c r="D17" s="51">
        <f>SUM(D12:D16)</f>
        <v>0</v>
      </c>
      <c r="E17" s="51">
        <f>SUM(E12:E16)</f>
        <v>0</v>
      </c>
      <c r="F17" s="51">
        <f>SUM(F12:F16)</f>
        <v>0</v>
      </c>
      <c r="G17" s="51">
        <f>SUM(G12:G16)</f>
        <v>0</v>
      </c>
      <c r="H17" s="51">
        <f>SUM(H12:H16)</f>
        <v>0</v>
      </c>
      <c r="I17" s="51">
        <f>SUM(I12:I16)</f>
        <v>0</v>
      </c>
      <c r="J17" s="51">
        <f>SUM(J12:J16)</f>
        <v>0</v>
      </c>
      <c r="K17" s="51">
        <f>SUM(K12:K16)</f>
        <v>0</v>
      </c>
      <c r="L17" s="51">
        <f>SUM(L12:L16)</f>
        <v>0</v>
      </c>
      <c r="M17" s="51">
        <f>SUM(M12:M16)</f>
        <v>0</v>
      </c>
      <c r="N17" s="48">
        <f>SUM(B17:M17)</f>
        <v>0</v>
      </c>
      <c r="O17" s="48">
        <f>AVERAGE(B17:M17)</f>
        <v>0</v>
      </c>
    </row>
    <row r="18" ht="21" customHeight="1" spans="1:15" x14ac:dyDescent="0.25">
      <c r="A18" s="52" t="s">
        <v>123</v>
      </c>
      <c r="B18" s="53" t="s">
        <v>18</v>
      </c>
      <c r="C18" s="53" t="s">
        <v>18</v>
      </c>
      <c r="D18" s="53" t="s">
        <v>18</v>
      </c>
      <c r="E18" s="53" t="s">
        <v>18</v>
      </c>
      <c r="F18" s="53" t="s">
        <v>18</v>
      </c>
      <c r="G18" s="53" t="s">
        <v>18</v>
      </c>
      <c r="H18" s="53" t="s">
        <v>18</v>
      </c>
      <c r="I18" s="53" t="s">
        <v>18</v>
      </c>
      <c r="J18" s="53" t="s">
        <v>18</v>
      </c>
      <c r="K18" s="53" t="s">
        <v>18</v>
      </c>
      <c r="L18" s="53" t="s">
        <v>18</v>
      </c>
      <c r="M18" s="53" t="s">
        <v>18</v>
      </c>
      <c r="N18" s="46"/>
      <c r="O18" s="46"/>
    </row>
    <row r="19" ht="21" customHeight="1" spans="1:15" x14ac:dyDescent="0.25">
      <c r="A19" s="47" t="s">
        <v>124</v>
      </c>
      <c r="B19" s="27">
        <v>0</v>
      </c>
      <c r="C19" s="27">
        <v>0</v>
      </c>
      <c r="D19" s="27">
        <v>0</v>
      </c>
      <c r="E19" s="27">
        <v>0</v>
      </c>
      <c r="F19" s="27">
        <v>0</v>
      </c>
      <c r="G19" s="27">
        <v>0</v>
      </c>
      <c r="H19" s="27">
        <v>0</v>
      </c>
      <c r="I19" s="27">
        <v>0</v>
      </c>
      <c r="J19" s="27">
        <f>'INPUT MASTER'!D9</f>
        <v>0</v>
      </c>
      <c r="K19" s="27">
        <v>0</v>
      </c>
      <c r="L19" s="27">
        <v>0</v>
      </c>
      <c r="M19" s="27">
        <v>0</v>
      </c>
      <c r="N19" s="48">
        <f>SUM(B19:M19)</f>
        <v>0</v>
      </c>
      <c r="O19" s="48">
        <f>AVERAGE(B19:M19)</f>
        <v>0</v>
      </c>
    </row>
    <row r="20" ht="21" customHeight="1" spans="1:15" x14ac:dyDescent="0.25">
      <c r="A20" s="54" t="s">
        <v>125</v>
      </c>
      <c r="B20" s="55" t="s">
        <v>18</v>
      </c>
      <c r="C20" s="55" t="s">
        <v>18</v>
      </c>
      <c r="D20" s="55" t="s">
        <v>18</v>
      </c>
      <c r="E20" s="55" t="s">
        <v>18</v>
      </c>
      <c r="F20" s="55" t="s">
        <v>18</v>
      </c>
      <c r="G20" s="55" t="s">
        <v>18</v>
      </c>
      <c r="H20" s="55" t="s">
        <v>18</v>
      </c>
      <c r="I20" s="55" t="s">
        <v>18</v>
      </c>
      <c r="J20" s="55" t="s">
        <v>18</v>
      </c>
      <c r="K20" s="55" t="s">
        <v>18</v>
      </c>
      <c r="L20" s="55" t="s">
        <v>18</v>
      </c>
      <c r="M20" s="55" t="s">
        <v>18</v>
      </c>
      <c r="N20" s="46"/>
      <c r="O20" s="46"/>
    </row>
    <row r="21" ht="21" customHeight="1" spans="1:15" x14ac:dyDescent="0.25">
      <c r="A21" s="47" t="s">
        <v>126</v>
      </c>
      <c r="B21" s="27">
        <v>0</v>
      </c>
      <c r="C21" s="27">
        <v>0</v>
      </c>
      <c r="D21" s="27">
        <v>0</v>
      </c>
      <c r="E21" s="27">
        <v>0</v>
      </c>
      <c r="F21" s="27">
        <v>0</v>
      </c>
      <c r="G21" s="27">
        <v>0</v>
      </c>
      <c r="H21" s="27">
        <v>0</v>
      </c>
      <c r="I21" s="27">
        <v>0</v>
      </c>
      <c r="J21" s="27">
        <f>'INPUT MASTER'!D10</f>
        <v>0</v>
      </c>
      <c r="K21" s="27">
        <v>0</v>
      </c>
      <c r="L21" s="27">
        <v>0</v>
      </c>
      <c r="M21" s="27">
        <v>0</v>
      </c>
      <c r="N21" s="48">
        <f>SUM(B21:M21)</f>
        <v>0</v>
      </c>
      <c r="O21" s="48">
        <f>AVERAGE(B21:M21)</f>
        <v>0</v>
      </c>
    </row>
    <row r="22" ht="21" customHeight="1" spans="1:15" x14ac:dyDescent="0.25">
      <c r="A22" s="56" t="s">
        <v>127</v>
      </c>
      <c r="B22" s="57">
        <f>B10-(B17+B19+B21)</f>
        <v>0</v>
      </c>
      <c r="C22" s="57">
        <f>C10-(C17+C19+C21)</f>
        <v>0</v>
      </c>
      <c r="D22" s="57">
        <f>D10-(D17+D19+D21)</f>
        <v>0</v>
      </c>
      <c r="E22" s="57">
        <f>E10-(E17+E19+E21)</f>
        <v>0</v>
      </c>
      <c r="F22" s="57">
        <f>F10-(F17+F19+F21)</f>
        <v>0</v>
      </c>
      <c r="G22" s="57">
        <f>G10-(G17+G19+G21)</f>
        <v>0</v>
      </c>
      <c r="H22" s="57">
        <f>H10-(H17+H19+H21)</f>
        <v>0</v>
      </c>
      <c r="I22" s="57">
        <f>I10-(I17+I19+I21)</f>
        <v>0</v>
      </c>
      <c r="J22" s="57">
        <f>J10-(J17+J19+J21)</f>
        <v>0</v>
      </c>
      <c r="K22" s="57">
        <f>K10-(K17+K19+K21)</f>
        <v>0</v>
      </c>
      <c r="L22" s="57">
        <f>L10-(L17+L19+L21)</f>
        <v>0</v>
      </c>
      <c r="M22" s="57">
        <f>M10-(M17+M19+M21)</f>
        <v>0</v>
      </c>
      <c r="N22" s="48">
        <f>SUM(B22:M22)</f>
        <v>0</v>
      </c>
      <c r="O22" s="48">
        <f>AVERAGE(B22:M22)</f>
        <v>0</v>
      </c>
    </row>
  </sheetData>
  <mergeCells count="7">
    <mergeCell ref="A1:P1"/>
    <mergeCell ref="B3:E3"/>
    <mergeCell ref="G3:J3"/>
    <mergeCell ref="L3:O3"/>
    <mergeCell ref="B4:E5"/>
    <mergeCell ref="G4:J5"/>
    <mergeCell ref="L4:O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MASTER</vt:lpstr>
      <vt:lpstr>OVERVIEW SATU TAHUN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FINUSA Financial Engine (Grant Sabatier Model)</dc:creator>
  <dc:title/>
  <dc:subject/>
  <dc:description/>
  <cp:keywords/>
  <cp:category/>
  <cp:lastModifiedBy>FINUSA Personal &amp; Family Finance</cp:lastModifiedBy>
  <dcterms:created xsi:type="dcterms:W3CDTF">2026-09-12T06:34:46Z</dcterms:created>
  <dcterms:modified xsi:type="dcterms:W3CDTF">2026-09-12T06:34:46Z</dcterms:modified>
</cp:coreProperties>
</file>