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ransaksi" state="visible" r:id="rId5"/>
    <sheet sheetId="3" name="Budget" state="visible" r:id="rId6"/>
    <sheet sheetId="4" name="Analisis" state="visible" r:id="rId7"/>
    <sheet sheetId="5" name="Tabungan" state="visible" r:id="rId8"/>
  </sheets>
  <calcPr calcId="171027"/>
</workbook>
</file>

<file path=xl/sharedStrings.xml><?xml version="1.0" encoding="utf-8"?>
<sst xmlns="http://schemas.openxmlformats.org/spreadsheetml/2006/main" count="932" uniqueCount="146">
  <si>
    <t>FINUSA MASTER FINANCIAL CONTROL CENTER</t>
  </si>
  <si>
    <t>Sistem Manajemen Arus Kas &amp; Pengendalian Pengeluaran | Berbasis Riset Ekonomi Perilaku Harvard</t>
  </si>
  <si>
    <t>TOTAL PEMASUKAN</t>
  </si>
  <si>
    <t>TOTAL PENGELUARAN</t>
  </si>
  <si>
    <t>SISA KAS BERSIH</t>
  </si>
  <si>
    <t>BATAS HARIAN AMAN</t>
  </si>
  <si>
    <t>STATUS KEUANGAN &amp; DIAGNOSTIK KAS</t>
  </si>
  <si>
    <t>Uang saku, gaji &amp; transfer</t>
  </si>
  <si>
    <t>Realisasi belanja aktual</t>
  </si>
  <si>
    <t>Saldo kas likuid tersedia</t>
  </si>
  <si>
    <t>Maksimal belanja / hari</t>
  </si>
  <si>
    <t>Arus kas bulan ini dalam batas aman (surplus kas terjaga)</t>
  </si>
  <si>
    <t>⚖️  EVALUASI ALOKASI KEUANGAN: FORMULA 50 / 30 / 20 (ELIZABETH WARREN)</t>
  </si>
  <si>
    <t>Pilar Alokasi Anggaran</t>
  </si>
  <si>
    <t>Target Porsi</t>
  </si>
  <si>
    <t>Batas Plafon</t>
  </si>
  <si>
    <t>Realisasi Aktual</t>
  </si>
  <si>
    <t>% Terpakai</t>
  </si>
  <si>
    <t>Status Evaluasi</t>
  </si>
  <si>
    <t>Panduan Strategis Harvard</t>
  </si>
  <si>
    <t>Kebutuhan Pokok (Needs: Makan, Kos, Transport, Kuliah)</t>
  </si>
  <si>
    <t>Jaga pengeluaran kebutuhan tidak melampaui 50% pemasukan.</t>
  </si>
  <si>
    <t>Keinginan &amp; Rekreasi (Wants: Kopi, Nongkrong, Liburan)</t>
  </si>
  <si>
    <t>Kendalikan jajan harian dan kurangi nongkrong impulsif.</t>
  </si>
  <si>
    <t>Tabungan &amp; Masa Depan (Savings: Dana Darurat &amp; Investasi)</t>
  </si>
  <si>
    <t>Sisihkan di awal bulan begitu uang saku/gaji masuk (Pay Yourself First).</t>
  </si>
  <si>
    <t>TOTAL ALOKASI PENGELUARAN &amp; TABUNGAN</t>
  </si>
  <si>
    <t>Kondisi kas surplus Rp 842.000 (disiplin terjaga).</t>
  </si>
  <si>
    <t>🎯  KONTROL PLAFON ANGGARAN BULANAN (BUDGET CEILING)</t>
  </si>
  <si>
    <t>Kategori Pengeluaran</t>
  </si>
  <si>
    <t>Pilar Alokasi</t>
  </si>
  <si>
    <t>Plafon Anggaran</t>
  </si>
  <si>
    <t>Realisasi Terpakai</t>
  </si>
  <si>
    <t>Sisa Kuota Anggaran</t>
  </si>
  <si>
    <t>Status Keamanan</t>
  </si>
  <si>
    <t>Makanan &amp; Minuman Pokok</t>
  </si>
  <si>
    <t>Kebutuhan</t>
  </si>
  <si>
    <t>Tempat Tinggal &amp; Kos/Utilitas</t>
  </si>
  <si>
    <t>Transportasi Harian &amp; Bensin</t>
  </si>
  <si>
    <t>Pendidikan, Buku &amp; Kuliah</t>
  </si>
  <si>
    <t>Kopi Kekinian &amp; Nongkrong</t>
  </si>
  <si>
    <t>Keinginan</t>
  </si>
  <si>
    <t>Hiburan, Game &amp; Liburan</t>
  </si>
  <si>
    <t>Belanja &amp; Fashion Pribadi</t>
  </si>
  <si>
    <t>Kesehatan &amp; Obat</t>
  </si>
  <si>
    <t>Dana Darurat &amp; Simpanan</t>
  </si>
  <si>
    <t>Tabungan</t>
  </si>
  <si>
    <t>Lain-lain / Biaya Tak Terduga</t>
  </si>
  <si>
    <t>TOTAL KESELURUHAN ANGGARAN</t>
  </si>
  <si>
    <t>10 Kategori</t>
  </si>
  <si>
    <t>BUKU CATATAN TRANSAKSI HARIAN (CASHFLOW LOG)</t>
  </si>
  <si>
    <t>Tips: Catat pengeluaran segera setelah bertransaksi. Hari terisi otomatis. Kategori dan Pilar terintegrasi.</t>
  </si>
  <si>
    <t>No</t>
  </si>
  <si>
    <t>Tanggal (YYYY-MM-DD)</t>
  </si>
  <si>
    <t>Hari</t>
  </si>
  <si>
    <t>Tipe Aliran</t>
  </si>
  <si>
    <t>Kategori Transaksi</t>
  </si>
  <si>
    <t>Nominal (Rp)</t>
  </si>
  <si>
    <t>Metode / Dompet</t>
  </si>
  <si>
    <t>Catatan &amp; Keterangan Rinci</t>
  </si>
  <si>
    <t>2026-09-01</t>
  </si>
  <si>
    <t>Pemasukan</t>
  </si>
  <si>
    <t>Uang Saku / Gaji Bulanan</t>
  </si>
  <si>
    <t>Transfer BCA</t>
  </si>
  <si>
    <t>Kiriman uang saku bulanan dari orang tua</t>
  </si>
  <si>
    <t>Pengeluaran</t>
  </si>
  <si>
    <t>Bayar sewa kamar kos bulanan</t>
  </si>
  <si>
    <t>Auto-Debit</t>
  </si>
  <si>
    <t>Alokasi tabungan disiplin awal bulan</t>
  </si>
  <si>
    <t>2026-09-02</t>
  </si>
  <si>
    <t>GoPay QRIS</t>
  </si>
  <si>
    <t>Makan siang nasi padang di dekat kampus</t>
  </si>
  <si>
    <t>Tunai</t>
  </si>
  <si>
    <t>Isi bensin motor Pertalite full tank</t>
  </si>
  <si>
    <t>2026-09-03</t>
  </si>
  <si>
    <t>ShopeePay</t>
  </si>
  <si>
    <t>Makan malam warteg</t>
  </si>
  <si>
    <t>QRIS</t>
  </si>
  <si>
    <t>Beli es kopi susu gula aren bareng teman</t>
  </si>
  <si>
    <t>2026-09-04</t>
  </si>
  <si>
    <t>Transfer</t>
  </si>
  <si>
    <t>Fotokopi modul kuliah &amp; jilid laporan</t>
  </si>
  <si>
    <t>2026-09-05</t>
  </si>
  <si>
    <t>BCA Mobile</t>
  </si>
  <si>
    <t>Beli token listrik PLN kos</t>
  </si>
  <si>
    <t>2026-09-06</t>
  </si>
  <si>
    <t>OVO</t>
  </si>
  <si>
    <t>Nonton bioskop akhir pekan</t>
  </si>
  <si>
    <t>2026-09-07</t>
  </si>
  <si>
    <t>Makan siang + jus buah</t>
  </si>
  <si>
    <t>2026-09-08</t>
  </si>
  <si>
    <t>Beli vitamin C &amp; obat flu di apotek</t>
  </si>
  <si>
    <t>2026-09-09</t>
  </si>
  <si>
    <t>Kopi cold brew saat ngerjain tugas kelompok</t>
  </si>
  <si>
    <t>2026-09-10</t>
  </si>
  <si>
    <t>Makan malam mie ayam</t>
  </si>
  <si>
    <t>2026-09-11</t>
  </si>
  <si>
    <t>Bensin motor mingguan</t>
  </si>
  <si>
    <t>2026-09-12</t>
  </si>
  <si>
    <t>Beli kaos polos promo tanggal kembar</t>
  </si>
  <si>
    <t/>
  </si>
  <si>
    <t>PENETAPAN PLAFON ANGGARAN &amp; MASTER KATEGORI (BUDGET CEILING)</t>
  </si>
  <si>
    <t>Aturan Emas: Tentukan plafon maksimal di awal bulan. Realisasi dihitung otomatis dari buku catatan transaksi.</t>
  </si>
  <si>
    <t>Nama Kategori Pengeluaran</t>
  </si>
  <si>
    <t>Plafon Budget (Batas Max)</t>
  </si>
  <si>
    <t>Realisasi Pengeluaran</t>
  </si>
  <si>
    <t>Status Keamanan Budget</t>
  </si>
  <si>
    <t>TOTAL PENGELUARAN &amp; ALOKASI</t>
  </si>
  <si>
    <t>DIAGNOSIS PERILAKU KEUANGAN &amp; AUDIT KEBOCORAN KAS</t>
  </si>
  <si>
    <t>Identifikasi kebocoran mikro (The Latte Factor) dan laju pengeluaran harian (Daily Burn Rate).</t>
  </si>
  <si>
    <t>Indikator Diagnostik Perilaku</t>
  </si>
  <si>
    <t>Nilai Aktual Saat Ini</t>
  </si>
  <si>
    <t>Batas Referensi Sehat (Benchmark)</t>
  </si>
  <si>
    <t>Interpretasi &amp; Solusi Finansial Harvard</t>
  </si>
  <si>
    <t>Rata-rata Pengeluaran Harian (Daily Burn Rate)</t>
  </si>
  <si>
    <t>Maksimal Rp 75.000 / hari</t>
  </si>
  <si>
    <t>Kecepatan uang keluar harian. Jika tinggi di awal bulan, periksa pos makan &amp; kos.</t>
  </si>
  <si>
    <t>Kebocoran Mikro (Kopi &amp; Jajan / The Latte Factor)</t>
  </si>
  <si>
    <t>Maksimal Rp 150.000 / bulan</t>
  </si>
  <si>
    <t>Pengeluaran kecil yang sering diabaikan tapi menyerap 15-25% uang saku.</t>
  </si>
  <si>
    <t>Rasio Tabungan Disiplin (Savings Rate)</t>
  </si>
  <si>
    <t>Minimal 20% dari pemasukan</t>
  </si>
  <si>
    <t>Pondasi keamanan finansial. Sisihkan di awal sebelum belanja konsumtif.</t>
  </si>
  <si>
    <t>Rasio Kebutuhan vs Keinginan</t>
  </si>
  <si>
    <t>Minimal 1.6x (Kebutuhan &gt; Keinginan)</t>
  </si>
  <si>
    <t>Sangat sehat jika rasio &gt; 2.0x, menandakan belanja terkonsentrasi pada esensial.</t>
  </si>
  <si>
    <t>PERENCANAAN POS TABUNGAN &amp; DANA DARURAT (SINKING FUNDS)</t>
  </si>
  <si>
    <t>Prinsip Pay Yourself First: Tabung di awal sebelum uang habis terpakai.</t>
  </si>
  <si>
    <t>Nama Pos Tabungan</t>
  </si>
  <si>
    <t>Kategori Prioritas</t>
  </si>
  <si>
    <t>Target Dana (Rp)</t>
  </si>
  <si>
    <t>Terkumpul Saat Ini</t>
  </si>
  <si>
    <t>Sisa Kebutuhan</t>
  </si>
  <si>
    <t>% Capaian</t>
  </si>
  <si>
    <t>Status Capaian</t>
  </si>
  <si>
    <t>Dana Darurat Mahasiswa (3 Bulan Kas)</t>
  </si>
  <si>
    <t>Prioritas Utama</t>
  </si>
  <si>
    <t>Laptop Belajar &amp; Produktivitas</t>
  </si>
  <si>
    <t>Pendidikan</t>
  </si>
  <si>
    <t>Ujian Sertifikasi &amp; Pelatihan</t>
  </si>
  <si>
    <t>Pengembangan Diri</t>
  </si>
  <si>
    <t>Liburan Akhir Semester</t>
  </si>
  <si>
    <t>Impian &amp; Hadiah Diri</t>
  </si>
  <si>
    <t>TOTAL SIMPANAN &amp; TARGET TABUNGAN</t>
  </si>
  <si>
    <t>4 Pos Tabungan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</si>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</sst>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 &quot;#,##0"/>
    <numFmt numFmtId="165" formatCode="0.0%"/>
    <numFmt numFmtId="166" formatCode="0.0&quot;x&quot;"/>
  </numFmts>
  <fonts count="1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94A3B8"/>
      <sz val="9"/>
      <name val="Arial"/>
    </font>
    <font>
      <b/>
      <color rgb="FF1D4ED8"/>
      <sz val="8.5"/>
      <name val="Arial"/>
    </font>
    <font>
      <b/>
      <color rgb="FFBE123C"/>
      <sz val="8.5"/>
      <name val="Arial"/>
    </font>
    <font>
      <b/>
      <color rgb="FF047857"/>
      <sz val="8.5"/>
      <name val="Arial"/>
    </font>
    <font>
      <b/>
      <color rgb="FFB45309"/>
      <sz val="8.5"/>
      <name val="Arial"/>
    </font>
    <font>
      <b/>
      <color rgb="FF0F172A"/>
      <sz val="8.5"/>
      <name val="Arial"/>
    </font>
    <font>
      <b/>
      <color rgb="FF1D4ED8"/>
      <sz val="14"/>
      <name val="Arial"/>
    </font>
    <font>
      <b/>
      <color rgb="FFBE123C"/>
      <sz val="14"/>
      <name val="Arial"/>
    </font>
    <font>
      <b/>
      <color rgb="FF047857"/>
      <sz val="14"/>
      <name val="Arial"/>
    </font>
    <font>
      <b/>
      <color rgb="FFB45309"/>
      <sz val="14"/>
      <name val="Arial"/>
    </font>
    <font>
      <b/>
      <color rgb="FF065F46"/>
      <sz val="13"/>
      <name val="Arial"/>
    </font>
    <font>
      <i/>
      <color rgb="FF64748B"/>
      <sz val="8"/>
      <name val="Arial"/>
    </font>
    <font>
      <b/>
      <color rgb="FFFFFFFF"/>
      <sz val="10.5"/>
      <name val="Arial"/>
    </font>
    <font>
      <b/>
      <color rgb="FF0F172A"/>
      <sz val="9.5"/>
      <name val="Arial"/>
    </font>
    <font>
      <sz val="9"/>
      <name val="Arial"/>
    </font>
    <font>
      <b/>
      <color rgb="FFFFFFFF"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9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/>
      <diagonal/>
    </border>
    <border>
      <left style="thin">
        <color rgb="FFFECDD3"/>
      </left>
      <right style="thin">
        <color rgb="FFFECDD3"/>
      </right>
      <top style="thin">
        <color rgb="FFFECDD3"/>
      </top>
      <bottom/>
      <diagonal/>
    </border>
    <border>
      <left style="thin">
        <color rgb="FFA7F3D0"/>
      </left>
      <right style="thin">
        <color rgb="FFA7F3D0"/>
      </right>
      <top style="thin">
        <color rgb="FFA7F3D0"/>
      </top>
      <bottom/>
      <diagonal/>
    </border>
    <border>
      <left style="thin">
        <color rgb="FFFDE68A"/>
      </left>
      <right style="thin">
        <color rgb="FFFDE68A"/>
      </right>
      <top style="thin">
        <color rgb="FFFDE68A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BFDBFE"/>
      </left>
      <right style="thin">
        <color rgb="FFBFDBFE"/>
      </right>
      <top/>
      <bottom/>
      <diagonal/>
    </border>
    <border>
      <left style="thin">
        <color rgb="FFFECDD3"/>
      </left>
      <right style="thin">
        <color rgb="FFFECDD3"/>
      </right>
      <top/>
      <bottom/>
      <diagonal/>
    </border>
    <border>
      <left style="thin">
        <color rgb="FFA7F3D0"/>
      </left>
      <right style="thin">
        <color rgb="FFA7F3D0"/>
      </right>
      <top/>
      <bottom/>
      <diagonal/>
    </border>
    <border>
      <left style="thin">
        <color rgb="FFFDE68A"/>
      </left>
      <right style="thin">
        <color rgb="FFFDE68A"/>
      </right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BFDBFE"/>
      </left>
      <right style="thin">
        <color rgb="FFBFDBFE"/>
      </right>
      <top/>
      <bottom style="thin">
        <color rgb="FFBFDBFE"/>
      </bottom>
      <diagonal/>
    </border>
    <border>
      <left style="thin">
        <color rgb="FFFECDD3"/>
      </left>
      <right style="thin">
        <color rgb="FFFECDD3"/>
      </right>
      <top/>
      <bottom style="thin">
        <color rgb="FFFECDD3"/>
      </bottom>
      <diagonal/>
    </border>
    <border>
      <left style="thin">
        <color rgb="FFA7F3D0"/>
      </left>
      <right style="thin">
        <color rgb="FFA7F3D0"/>
      </right>
      <top/>
      <bottom style="thin">
        <color rgb="FFA7F3D0"/>
      </bottom>
      <diagonal/>
    </border>
    <border>
      <left style="thin">
        <color rgb="FFFDE68A"/>
      </left>
      <right style="thin">
        <color rgb="FFFDE68A"/>
      </right>
      <top/>
      <bottom style="thin">
        <color rgb="FFFDE68A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CBD5E1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bottom"/>
    </xf>
    <xf numFmtId="0" fontId="4" fillId="4" borderId="2" xfId="0" applyFont="1" applyFill="1" applyBorder="1" applyAlignment="1">
      <alignment horizontal="center" vertical="bottom"/>
    </xf>
    <xf numFmtId="0" fontId="5" fillId="5" borderId="3" xfId="0" applyFont="1" applyFill="1" applyBorder="1" applyAlignment="1">
      <alignment horizontal="center" vertical="bottom"/>
    </xf>
    <xf numFmtId="0" fontId="6" fillId="6" borderId="4" xfId="0" applyFont="1" applyFill="1" applyBorder="1" applyAlignment="1">
      <alignment horizontal="center" vertical="bottom"/>
    </xf>
    <xf numFmtId="0" fontId="7" fillId="7" borderId="5" xfId="0" applyFont="1" applyFill="1" applyBorder="1" applyAlignment="1">
      <alignment horizontal="center" vertical="bottom"/>
    </xf>
    <xf numFmtId="164" fontId="8" fillId="3" borderId="6" xfId="0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10" fillId="5" borderId="8" xfId="0" applyNumberFormat="1" applyFont="1" applyFill="1" applyBorder="1" applyAlignment="1">
      <alignment horizontal="center" vertical="center"/>
    </xf>
    <xf numFmtId="164" fontId="11" fillId="6" borderId="9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top"/>
    </xf>
    <xf numFmtId="0" fontId="13" fillId="4" borderId="12" xfId="0" applyFont="1" applyFill="1" applyBorder="1" applyAlignment="1">
      <alignment horizontal="center" vertical="top"/>
    </xf>
    <xf numFmtId="0" fontId="13" fillId="5" borderId="13" xfId="0" applyFont="1" applyFill="1" applyBorder="1" applyAlignment="1">
      <alignment horizontal="center" vertical="top"/>
    </xf>
    <xf numFmtId="0" fontId="13" fillId="6" borderId="14" xfId="0" applyFont="1" applyFill="1" applyBorder="1" applyAlignment="1">
      <alignment horizontal="center" vertical="top"/>
    </xf>
    <xf numFmtId="0" fontId="13" fillId="7" borderId="15" xfId="0" applyFont="1" applyFill="1" applyBorder="1" applyAlignment="1">
      <alignment horizontal="center" vertical="top"/>
    </xf>
    <xf numFmtId="0" fontId="14" fillId="8" borderId="0" xfId="0" applyFont="1" applyFill="1" applyAlignment="1">
      <alignment horizontal="left" vertical="center"/>
    </xf>
    <xf numFmtId="0" fontId="15" fillId="9" borderId="16" xfId="0" applyFont="1" applyFill="1" applyBorder="1" applyAlignment="1">
      <alignment horizontal="left" vertical="center"/>
    </xf>
    <xf numFmtId="0" fontId="15" fillId="9" borderId="16" xfId="0" applyFont="1" applyFill="1" applyBorder="1" applyAlignment="1">
      <alignment horizontal="center" vertical="center"/>
    </xf>
    <xf numFmtId="0" fontId="16" fillId="0" borderId="0" xfId="0" applyFont="1"/>
    <xf numFmtId="0" fontId="16" fillId="0" borderId="17" xfId="0" applyFont="1" applyBorder="1"/>
    <xf numFmtId="165" fontId="16" fillId="0" borderId="17" xfId="0" applyNumberFormat="1" applyFont="1" applyBorder="1" applyAlignment="1">
      <alignment horizontal="center"/>
    </xf>
    <xf numFmtId="164" fontId="16" fillId="0" borderId="17" xfId="0" applyNumberFormat="1" applyFont="1" applyBorder="1"/>
    <xf numFmtId="0" fontId="16" fillId="0" borderId="17" xfId="0" applyFont="1" applyBorder="1" applyAlignment="1">
      <alignment horizontal="center"/>
    </xf>
    <xf numFmtId="0" fontId="16" fillId="7" borderId="17" xfId="0" applyFont="1" applyFill="1" applyBorder="1"/>
    <xf numFmtId="165" fontId="16" fillId="7" borderId="17" xfId="0" applyNumberFormat="1" applyFont="1" applyFill="1" applyBorder="1" applyAlignment="1">
      <alignment horizontal="center"/>
    </xf>
    <xf numFmtId="164" fontId="16" fillId="7" borderId="17" xfId="0" applyNumberFormat="1" applyFont="1" applyFill="1" applyBorder="1"/>
    <xf numFmtId="0" fontId="16" fillId="7" borderId="17" xfId="0" applyFont="1" applyFill="1" applyBorder="1" applyAlignment="1">
      <alignment horizontal="center"/>
    </xf>
    <xf numFmtId="0" fontId="15" fillId="0" borderId="0" xfId="0" applyFont="1"/>
    <xf numFmtId="0" fontId="15" fillId="9" borderId="18" xfId="0" applyFont="1" applyFill="1" applyBorder="1"/>
    <xf numFmtId="165" fontId="15" fillId="9" borderId="18" xfId="0" applyNumberFormat="1" applyFont="1" applyFill="1" applyBorder="1" applyAlignment="1">
      <alignment horizontal="center"/>
    </xf>
    <xf numFmtId="164" fontId="15" fillId="9" borderId="18" xfId="0" applyNumberFormat="1" applyFont="1" applyFill="1" applyBorder="1"/>
    <xf numFmtId="0" fontId="15" fillId="9" borderId="18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164" fontId="16" fillId="0" borderId="17" xfId="0" applyNumberFormat="1" applyFont="1" applyBorder="1" applyAlignment="1">
      <alignment horizontal="right"/>
    </xf>
    <xf numFmtId="164" fontId="16" fillId="7" borderId="17" xfId="0" applyNumberFormat="1" applyFont="1" applyFill="1" applyBorder="1" applyAlignment="1">
      <alignment horizontal="right"/>
    </xf>
    <xf numFmtId="166" fontId="16" fillId="7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G28"/>
  <sheetViews>
    <sheetView workbookViewId="0"/>
  </sheetViews>
  <sheetFormatPr defaultRowHeight="15" outlineLevelRow="0" outlineLevelCol="0" x14ac:dyDescent="55"/>
  <cols>
    <col min="1" max="1" width="34" customWidth="1"/>
    <col min="2" max="2" width="18" customWidth="1"/>
    <col min="3" max="5" width="20" customWidth="1"/>
    <col min="6" max="6" width="18" customWidth="1"/>
    <col min="7" max="7" width="40" customWidth="1"/>
  </cols>
  <sheetData>
    <row r="1" ht="10" customHeight="1" x14ac:dyDescent="0.25"/>
    <row r="2" ht="30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12" customHeight="1" x14ac:dyDescent="0.25"/>
    <row r="5" ht="20" customHeight="1" spans="1:7" x14ac:dyDescent="0.25">
      <c r="A5" s="3" t="s">
        <v>2</v>
      </c>
      <c r="B5" s="4" t="s">
        <v>3</v>
      </c>
      <c r="C5" s="5" t="s">
        <v>4</v>
      </c>
      <c r="D5" s="6" t="s">
        <v>5</v>
      </c>
      <c r="E5" s="7" t="s">
        <v>6</v>
      </c>
      <c r="F5" s="7"/>
      <c r="G5" s="7"/>
    </row>
    <row r="6" ht="30" customHeight="1" spans="1:7" x14ac:dyDescent="0.25">
      <c r="A6" s="8">
        <f>SUMIF(Transaksi!D4:D200, "Pemasukan", Transaksi!G4:G200)</f>
        <v>2500000</v>
      </c>
      <c r="B6" s="9">
        <f>SUMIF(Transaksi!D4:D200, "Pengeluaran", Transaksi!G4:G200)</f>
        <v>1658000</v>
      </c>
      <c r="C6" s="10">
        <f>A6-B6</f>
        <v>842000</v>
      </c>
      <c r="D6" s="11">
        <f>ROUND(MAX(0, C6/18), 0)</f>
        <v>46778</v>
      </c>
      <c r="E6" s="12" t="str">
        <f>IF(C6&lt;0, "🔴 DEFISIT / KRITIS", IF(B6/A6&gt;0.85, "🟡 WASPADA (Kas Menipis)", "🟢 SEHAT &amp; TERKENDALI"))</f>
        <v>🟢 SEHAT &amp; TERKENDALI</v>
      </c>
      <c r="F6" s="12"/>
      <c r="G6" s="12"/>
    </row>
    <row r="7" ht="18" customHeight="1" spans="1:7" x14ac:dyDescent="0.25">
      <c r="A7" s="13" t="s">
        <v>7</v>
      </c>
      <c r="B7" s="14" t="s">
        <v>8</v>
      </c>
      <c r="C7" s="15" t="s">
        <v>9</v>
      </c>
      <c r="D7" s="16" t="s">
        <v>10</v>
      </c>
      <c r="E7" s="17" t="s">
        <v>11</v>
      </c>
      <c r="F7" s="17"/>
      <c r="G7" s="17"/>
    </row>
    <row r="8" ht="12" customHeight="1" x14ac:dyDescent="0.25"/>
    <row r="9" ht="24" customHeight="1" spans="1:7" x14ac:dyDescent="0.25">
      <c r="A9" s="18" t="s">
        <v>12</v>
      </c>
      <c r="B9" s="18"/>
      <c r="C9" s="18"/>
      <c r="D9" s="18"/>
      <c r="E9" s="18"/>
      <c r="F9" s="18"/>
      <c r="G9" s="18"/>
    </row>
    <row r="10" ht="24" customHeight="1" spans="1:7" x14ac:dyDescent="0.25">
      <c r="A10" s="19" t="s">
        <v>13</v>
      </c>
      <c r="B10" s="20" t="s">
        <v>14</v>
      </c>
      <c r="C10" s="20" t="s">
        <v>15</v>
      </c>
      <c r="D10" s="20" t="s">
        <v>16</v>
      </c>
      <c r="E10" s="20" t="s">
        <v>17</v>
      </c>
      <c r="F10" s="20" t="s">
        <v>18</v>
      </c>
      <c r="G10" s="20" t="s">
        <v>19</v>
      </c>
    </row>
    <row r="11" ht="22" customHeight="1" spans="1:7" s="21" customFormat="1" x14ac:dyDescent="0.25">
      <c r="A11" s="22" t="s">
        <v>20</v>
      </c>
      <c r="B11" s="23">
        <v>0.5</v>
      </c>
      <c r="C11" s="24">
        <f>A6*0.5</f>
        <v>1250000</v>
      </c>
      <c r="D11" s="24">
        <f>SUMIF(Transaksi!F4:F200, "Kebutuhan", Transaksi!G4:G200)</f>
        <v>1105000</v>
      </c>
      <c r="E11" s="23">
        <f>D11/A6</f>
        <v>0.442</v>
      </c>
      <c r="F11" s="25" t="str">
        <f>IF(D11&lt;=C11, "🟢 Sesuai Batas", "🔴 Melebihi Plafon")</f>
        <v>🟢 Sesuai Batas</v>
      </c>
      <c r="G11" s="22" t="s">
        <v>21</v>
      </c>
    </row>
    <row r="12" ht="22" customHeight="1" spans="1:7" s="21" customFormat="1" x14ac:dyDescent="0.25">
      <c r="A12" s="26" t="s">
        <v>22</v>
      </c>
      <c r="B12" s="27">
        <v>0.3</v>
      </c>
      <c r="C12" s="28">
        <f>A6*0.3</f>
        <v>750000</v>
      </c>
      <c r="D12" s="28">
        <f>SUMIF(Transaksi!F4:F200, "Keinginan", Transaksi!G4:G200)</f>
        <v>253000</v>
      </c>
      <c r="E12" s="27">
        <f>D12/A6</f>
        <v>0.1012</v>
      </c>
      <c r="F12" s="29" t="str">
        <f>IF(D12&lt;=C12, "🟢 Terkendali", "🔴 Bahaya (The Latte Factor!)")</f>
        <v>🟢 Terkendali</v>
      </c>
      <c r="G12" s="26" t="s">
        <v>23</v>
      </c>
    </row>
    <row r="13" ht="22" customHeight="1" spans="1:7" s="21" customFormat="1" x14ac:dyDescent="0.25">
      <c r="A13" s="22" t="s">
        <v>24</v>
      </c>
      <c r="B13" s="23">
        <v>0.2</v>
      </c>
      <c r="C13" s="24">
        <f>A6*0.2</f>
        <v>500000</v>
      </c>
      <c r="D13" s="24">
        <f>SUMIF(Transaksi!F4:F200, "Tabungan", Transaksi!G4:G200)</f>
        <v>300000</v>
      </c>
      <c r="E13" s="23">
        <f>D13/A6</f>
        <v>0.12</v>
      </c>
      <c r="F13" s="25" t="str">
        <f>IF(D13&gt;=C13, "🟢 Target Tercapai", "🟡 Tabungan Kurang")</f>
        <v>🟡 Tabungan Kurang</v>
      </c>
      <c r="G13" s="22" t="s">
        <v>25</v>
      </c>
    </row>
    <row r="14" ht="24" customHeight="1" spans="1:7" s="30" customFormat="1" x14ac:dyDescent="0.25">
      <c r="A14" s="31" t="s">
        <v>26</v>
      </c>
      <c r="B14" s="32">
        <f>SUM(B11:B13)</f>
        <v>1</v>
      </c>
      <c r="C14" s="33">
        <f>SUM(C11:C13)</f>
        <v>2500000</v>
      </c>
      <c r="D14" s="33">
        <f>SUM(D11:D13)</f>
        <v>1658000</v>
      </c>
      <c r="E14" s="32">
        <f>D14/A6</f>
        <v>0.6632</v>
      </c>
      <c r="F14" s="34" t="str">
        <f>IF(D14&lt;=A6, "🟢 Surplus Kas", "🔴 Defisit Kas")</f>
        <v>🟢 Surplus Kas</v>
      </c>
      <c r="G14" s="31" t="s">
        <v>27</v>
      </c>
    </row>
    <row r="15" ht="14" customHeight="1" x14ac:dyDescent="0.25"/>
    <row r="16" ht="24" customHeight="1" spans="1:7" x14ac:dyDescent="0.25">
      <c r="A16" s="18" t="s">
        <v>28</v>
      </c>
      <c r="B16" s="18"/>
      <c r="C16" s="18"/>
      <c r="D16" s="18"/>
      <c r="E16" s="18"/>
      <c r="F16" s="18"/>
      <c r="G16" s="18"/>
    </row>
    <row r="17" ht="24" customHeight="1" spans="1:7" x14ac:dyDescent="0.25">
      <c r="A17" s="19" t="s">
        <v>29</v>
      </c>
      <c r="B17" s="19" t="s">
        <v>30</v>
      </c>
      <c r="C17" s="20" t="s">
        <v>31</v>
      </c>
      <c r="D17" s="20" t="s">
        <v>32</v>
      </c>
      <c r="E17" s="20" t="s">
        <v>33</v>
      </c>
      <c r="F17" s="20" t="s">
        <v>17</v>
      </c>
      <c r="G17" s="20" t="s">
        <v>34</v>
      </c>
    </row>
    <row r="18" ht="21" customHeight="1" spans="1:7" s="21" customFormat="1" x14ac:dyDescent="0.25">
      <c r="A18" s="22" t="s">
        <v>35</v>
      </c>
      <c r="B18" s="25" t="s">
        <v>36</v>
      </c>
      <c r="C18" s="24">
        <f>Budget!C4</f>
        <v>750000</v>
      </c>
      <c r="D18" s="24">
        <f>Budget!D4</f>
        <v>145000</v>
      </c>
      <c r="E18" s="24">
        <f>Budget!E4</f>
        <v>605000</v>
      </c>
      <c r="F18" s="23">
        <f>Budget!F4</f>
        <v>0.1933</v>
      </c>
      <c r="G18" s="25" t="str">
        <f>Budget!G4</f>
        <v>🟢 AMAN</v>
      </c>
    </row>
    <row r="19" ht="21" customHeight="1" spans="1:7" s="21" customFormat="1" x14ac:dyDescent="0.25">
      <c r="A19" s="26" t="s">
        <v>37</v>
      </c>
      <c r="B19" s="29" t="s">
        <v>36</v>
      </c>
      <c r="C19" s="28">
        <f>Budget!C5</f>
        <v>850000</v>
      </c>
      <c r="D19" s="28">
        <f>Budget!D5</f>
        <v>860000</v>
      </c>
      <c r="E19" s="28">
        <f>Budget!E5</f>
        <v>-10000</v>
      </c>
      <c r="F19" s="27">
        <f>Budget!F5</f>
        <v>1.0117</v>
      </c>
      <c r="G19" s="29" t="str">
        <f>Budget!G5</f>
        <v>🔴 OVERBUDGET</v>
      </c>
    </row>
    <row r="20" ht="21" customHeight="1" spans="1:7" s="21" customFormat="1" x14ac:dyDescent="0.25">
      <c r="A20" s="22" t="s">
        <v>38</v>
      </c>
      <c r="B20" s="25" t="s">
        <v>36</v>
      </c>
      <c r="C20" s="24">
        <f>Budget!C6</f>
        <v>200000</v>
      </c>
      <c r="D20" s="24">
        <f>Budget!D6</f>
        <v>80000</v>
      </c>
      <c r="E20" s="24">
        <f>Budget!E6</f>
        <v>120000</v>
      </c>
      <c r="F20" s="23">
        <f>Budget!F6</f>
        <v>0.4</v>
      </c>
      <c r="G20" s="25" t="str">
        <f>Budget!G6</f>
        <v>🟢 AMAN</v>
      </c>
    </row>
    <row r="21" ht="21" customHeight="1" spans="1:7" s="21" customFormat="1" x14ac:dyDescent="0.25">
      <c r="A21" s="26" t="s">
        <v>39</v>
      </c>
      <c r="B21" s="29" t="s">
        <v>36</v>
      </c>
      <c r="C21" s="28">
        <f>Budget!C7</f>
        <v>150000</v>
      </c>
      <c r="D21" s="28">
        <f>Budget!D7</f>
        <v>75000</v>
      </c>
      <c r="E21" s="28">
        <f>Budget!E7</f>
        <v>75000</v>
      </c>
      <c r="F21" s="27">
        <f>Budget!F7</f>
        <v>0.5</v>
      </c>
      <c r="G21" s="29" t="str">
        <f>Budget!G7</f>
        <v>🟢 AMAN</v>
      </c>
    </row>
    <row r="22" ht="21" customHeight="1" spans="1:7" s="21" customFormat="1" x14ac:dyDescent="0.25">
      <c r="A22" s="22" t="s">
        <v>40</v>
      </c>
      <c r="B22" s="25" t="s">
        <v>41</v>
      </c>
      <c r="C22" s="24">
        <f>Budget!C8</f>
        <v>150000</v>
      </c>
      <c r="D22" s="24">
        <f>Budget!D8</f>
        <v>53000</v>
      </c>
      <c r="E22" s="24">
        <f>Budget!E8</f>
        <v>97000</v>
      </c>
      <c r="F22" s="23">
        <f>Budget!F8</f>
        <v>0.3533</v>
      </c>
      <c r="G22" s="25" t="str">
        <f>Budget!G8</f>
        <v>🟢 AMAN</v>
      </c>
    </row>
    <row r="23" ht="21" customHeight="1" spans="1:7" s="21" customFormat="1" x14ac:dyDescent="0.25">
      <c r="A23" s="26" t="s">
        <v>42</v>
      </c>
      <c r="B23" s="29" t="s">
        <v>41</v>
      </c>
      <c r="C23" s="28">
        <f>Budget!C9</f>
        <v>100000</v>
      </c>
      <c r="D23" s="28">
        <f>Budget!D9</f>
        <v>50000</v>
      </c>
      <c r="E23" s="28">
        <f>Budget!E9</f>
        <v>50000</v>
      </c>
      <c r="F23" s="27">
        <f>Budget!F9</f>
        <v>0.5</v>
      </c>
      <c r="G23" s="29" t="str">
        <f>Budget!G9</f>
        <v>🟢 AMAN</v>
      </c>
    </row>
    <row r="24" ht="21" customHeight="1" spans="1:7" s="21" customFormat="1" x14ac:dyDescent="0.25">
      <c r="A24" s="22" t="s">
        <v>43</v>
      </c>
      <c r="B24" s="25" t="s">
        <v>41</v>
      </c>
      <c r="C24" s="24">
        <f>Budget!C10</f>
        <v>100000</v>
      </c>
      <c r="D24" s="24">
        <f>Budget!D10</f>
        <v>85000</v>
      </c>
      <c r="E24" s="24">
        <f>Budget!E10</f>
        <v>15000</v>
      </c>
      <c r="F24" s="23">
        <f>Budget!F10</f>
        <v>0.85</v>
      </c>
      <c r="G24" s="25" t="str">
        <f>Budget!G10</f>
        <v>🟡 HAMPIR HABIS</v>
      </c>
    </row>
    <row r="25" ht="21" customHeight="1" spans="1:7" s="21" customFormat="1" x14ac:dyDescent="0.25">
      <c r="A25" s="26" t="s">
        <v>44</v>
      </c>
      <c r="B25" s="29" t="s">
        <v>36</v>
      </c>
      <c r="C25" s="28">
        <f>Budget!C11</f>
        <v>50000</v>
      </c>
      <c r="D25" s="28">
        <f>Budget!D11</f>
        <v>25000</v>
      </c>
      <c r="E25" s="28">
        <f>Budget!E11</f>
        <v>25000</v>
      </c>
      <c r="F25" s="27">
        <f>Budget!F11</f>
        <v>0.5</v>
      </c>
      <c r="G25" s="29" t="str">
        <f>Budget!G11</f>
        <v>🟢 AMAN</v>
      </c>
    </row>
    <row r="26" ht="21" customHeight="1" spans="1:7" s="21" customFormat="1" x14ac:dyDescent="0.25">
      <c r="A26" s="22" t="s">
        <v>45</v>
      </c>
      <c r="B26" s="25" t="s">
        <v>46</v>
      </c>
      <c r="C26" s="24">
        <f>Budget!C12</f>
        <v>300000</v>
      </c>
      <c r="D26" s="24">
        <f>Budget!D12</f>
        <v>300000</v>
      </c>
      <c r="E26" s="24">
        <f>Budget!E12</f>
        <v>0</v>
      </c>
      <c r="F26" s="23">
        <f>Budget!F12</f>
        <v>1</v>
      </c>
      <c r="G26" s="25" t="str">
        <f>Budget!G12</f>
        <v>🟢 TERCAPAI</v>
      </c>
    </row>
    <row r="27" ht="21" customHeight="1" spans="1:7" s="21" customFormat="1" x14ac:dyDescent="0.25">
      <c r="A27" s="26" t="s">
        <v>47</v>
      </c>
      <c r="B27" s="29" t="s">
        <v>36</v>
      </c>
      <c r="C27" s="28">
        <f>Budget!C13</f>
        <v>50000</v>
      </c>
      <c r="D27" s="28">
        <f>Budget!D13</f>
        <v>0</v>
      </c>
      <c r="E27" s="28">
        <f>Budget!E13</f>
        <v>50000</v>
      </c>
      <c r="F27" s="27">
        <f>Budget!F13</f>
        <v>0</v>
      </c>
      <c r="G27" s="29" t="str">
        <f>Budget!G13</f>
        <v>🟢 AMAN</v>
      </c>
    </row>
    <row r="28" ht="24" customHeight="1" spans="1:7" s="30" customFormat="1" x14ac:dyDescent="0.25">
      <c r="A28" s="31" t="s">
        <v>48</v>
      </c>
      <c r="B28" s="34" t="s">
        <v>49</v>
      </c>
      <c r="C28" s="33">
        <f>SUM(C18:C27)</f>
        <v>2700000</v>
      </c>
      <c r="D28" s="33">
        <f>SUM(D18:D27)</f>
        <v>1658000</v>
      </c>
      <c r="E28" s="33">
        <f>SUM(E18:E27)</f>
        <v>1042000</v>
      </c>
      <c r="F28" s="32">
        <f>D28/C28</f>
        <v>0.614</v>
      </c>
      <c r="G28" s="34" t="str">
        <f>IF(D28&gt;C28, "🔴 OVERBUDGET", "🟢 AMAN")</f>
        <v>🟢 AMAN</v>
      </c>
    </row>
  </sheetData>
  <mergeCells count="7">
    <mergeCell ref="A2:G2"/>
    <mergeCell ref="A3:G3"/>
    <mergeCell ref="E5:G5"/>
    <mergeCell ref="E6:G6"/>
    <mergeCell ref="E7:G7"/>
    <mergeCell ref="A9:G9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I1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2" customWidth="1"/>
    <col min="4" max="4" width="14" customWidth="1"/>
    <col min="5" max="5" width="30" customWidth="1"/>
    <col min="6" max="6" width="16" customWidth="1"/>
    <col min="7" max="8" width="18" customWidth="1"/>
    <col min="9" max="9" width="44" customWidth="1"/>
  </cols>
  <sheetData>
    <row r="1" ht="28" customHeight="1" spans="1:9" x14ac:dyDescent="0.25">
      <c r="A1" s="35" t="s">
        <v>50</v>
      </c>
      <c r="B1" s="35"/>
      <c r="C1" s="35"/>
      <c r="D1" s="35"/>
      <c r="E1" s="35"/>
      <c r="F1" s="35"/>
      <c r="G1" s="35"/>
      <c r="H1" s="35"/>
      <c r="I1" s="35"/>
    </row>
    <row r="2" ht="18" customHeight="1" spans="1:9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</row>
    <row r="3" ht="24" customHeight="1" spans="1:9" x14ac:dyDescent="0.25">
      <c r="A3" s="20" t="s">
        <v>52</v>
      </c>
      <c r="B3" s="20" t="s">
        <v>53</v>
      </c>
      <c r="C3" s="20" t="s">
        <v>54</v>
      </c>
      <c r="D3" s="20" t="s">
        <v>55</v>
      </c>
      <c r="E3" s="20" t="s">
        <v>56</v>
      </c>
      <c r="F3" s="20" t="s">
        <v>30</v>
      </c>
      <c r="G3" s="20" t="s">
        <v>57</v>
      </c>
      <c r="H3" s="20" t="s">
        <v>58</v>
      </c>
      <c r="I3" s="20" t="s">
        <v>59</v>
      </c>
    </row>
    <row r="4" ht="21" customHeight="1" spans="1:9" s="21" customFormat="1" x14ac:dyDescent="0.25">
      <c r="A4" s="25">
        <v>1</v>
      </c>
      <c r="B4" s="25" t="s">
        <v>60</v>
      </c>
      <c r="C4" s="25" t="str">
        <f>IF(B4="","",TEXT(B4,"dddd"))</f>
        <v>Selasa</v>
      </c>
      <c r="D4" s="25" t="s">
        <v>61</v>
      </c>
      <c r="E4" s="22" t="s">
        <v>62</v>
      </c>
      <c r="F4" s="25" t="s">
        <v>61</v>
      </c>
      <c r="G4" s="36">
        <v>2500000</v>
      </c>
      <c r="H4" s="22" t="s">
        <v>63</v>
      </c>
      <c r="I4" s="22" t="s">
        <v>64</v>
      </c>
    </row>
    <row r="5" ht="21" customHeight="1" spans="1:9" s="21" customFormat="1" x14ac:dyDescent="0.25">
      <c r="A5" s="29">
        <v>2</v>
      </c>
      <c r="B5" s="29" t="s">
        <v>60</v>
      </c>
      <c r="C5" s="29" t="str">
        <f>IF(B5="","",TEXT(B5,"dddd"))</f>
        <v>Selasa</v>
      </c>
      <c r="D5" s="29" t="s">
        <v>65</v>
      </c>
      <c r="E5" s="26" t="s">
        <v>37</v>
      </c>
      <c r="F5" s="29" t="s">
        <v>36</v>
      </c>
      <c r="G5" s="37">
        <v>800000</v>
      </c>
      <c r="H5" s="26" t="s">
        <v>63</v>
      </c>
      <c r="I5" s="26" t="s">
        <v>66</v>
      </c>
    </row>
    <row r="6" ht="21" customHeight="1" spans="1:9" s="21" customFormat="1" x14ac:dyDescent="0.25">
      <c r="A6" s="25">
        <v>3</v>
      </c>
      <c r="B6" s="25" t="s">
        <v>60</v>
      </c>
      <c r="C6" s="25" t="str">
        <f>IF(B6="","",TEXT(B6,"dddd"))</f>
        <v>Selasa</v>
      </c>
      <c r="D6" s="25" t="s">
        <v>65</v>
      </c>
      <c r="E6" s="22" t="s">
        <v>45</v>
      </c>
      <c r="F6" s="25" t="s">
        <v>46</v>
      </c>
      <c r="G6" s="36">
        <v>300000</v>
      </c>
      <c r="H6" s="22" t="s">
        <v>67</v>
      </c>
      <c r="I6" s="22" t="s">
        <v>68</v>
      </c>
    </row>
    <row r="7" ht="21" customHeight="1" spans="1:9" s="21" customFormat="1" x14ac:dyDescent="0.25">
      <c r="A7" s="29">
        <v>4</v>
      </c>
      <c r="B7" s="29" t="s">
        <v>69</v>
      </c>
      <c r="C7" s="29" t="str">
        <f>IF(B7="","",TEXT(B7,"dddd"))</f>
        <v>Rabu</v>
      </c>
      <c r="D7" s="29" t="s">
        <v>65</v>
      </c>
      <c r="E7" s="26" t="s">
        <v>35</v>
      </c>
      <c r="F7" s="29" t="s">
        <v>36</v>
      </c>
      <c r="G7" s="37">
        <v>35000</v>
      </c>
      <c r="H7" s="26" t="s">
        <v>70</v>
      </c>
      <c r="I7" s="26" t="s">
        <v>71</v>
      </c>
    </row>
    <row r="8" ht="21" customHeight="1" spans="1:9" s="21" customFormat="1" x14ac:dyDescent="0.25">
      <c r="A8" s="25">
        <v>5</v>
      </c>
      <c r="B8" s="25" t="s">
        <v>69</v>
      </c>
      <c r="C8" s="25" t="str">
        <f>IF(B8="","",TEXT(B8,"dddd"))</f>
        <v>Rabu</v>
      </c>
      <c r="D8" s="25" t="s">
        <v>65</v>
      </c>
      <c r="E8" s="22" t="s">
        <v>38</v>
      </c>
      <c r="F8" s="25" t="s">
        <v>36</v>
      </c>
      <c r="G8" s="36">
        <v>40000</v>
      </c>
      <c r="H8" s="22" t="s">
        <v>72</v>
      </c>
      <c r="I8" s="22" t="s">
        <v>73</v>
      </c>
    </row>
    <row r="9" ht="21" customHeight="1" spans="1:9" s="21" customFormat="1" x14ac:dyDescent="0.25">
      <c r="A9" s="29">
        <v>6</v>
      </c>
      <c r="B9" s="29" t="s">
        <v>74</v>
      </c>
      <c r="C9" s="29" t="str">
        <f>IF(B9="","",TEXT(B9,"dddd"))</f>
        <v>Kamis</v>
      </c>
      <c r="D9" s="29" t="s">
        <v>65</v>
      </c>
      <c r="E9" s="26" t="s">
        <v>35</v>
      </c>
      <c r="F9" s="29" t="s">
        <v>36</v>
      </c>
      <c r="G9" s="37">
        <v>30000</v>
      </c>
      <c r="H9" s="26" t="s">
        <v>75</v>
      </c>
      <c r="I9" s="26" t="s">
        <v>76</v>
      </c>
    </row>
    <row r="10" ht="21" customHeight="1" spans="1:9" s="21" customFormat="1" x14ac:dyDescent="0.25">
      <c r="A10" s="25">
        <v>7</v>
      </c>
      <c r="B10" s="25" t="s">
        <v>74</v>
      </c>
      <c r="C10" s="25" t="str">
        <f>IF(B10="","",TEXT(B10,"dddd"))</f>
        <v>Kamis</v>
      </c>
      <c r="D10" s="25" t="s">
        <v>65</v>
      </c>
      <c r="E10" s="22" t="s">
        <v>40</v>
      </c>
      <c r="F10" s="25" t="s">
        <v>41</v>
      </c>
      <c r="G10" s="36">
        <v>28000</v>
      </c>
      <c r="H10" s="22" t="s">
        <v>77</v>
      </c>
      <c r="I10" s="22" t="s">
        <v>78</v>
      </c>
    </row>
    <row r="11" ht="21" customHeight="1" spans="1:9" s="21" customFormat="1" x14ac:dyDescent="0.25">
      <c r="A11" s="29">
        <v>8</v>
      </c>
      <c r="B11" s="29" t="s">
        <v>79</v>
      </c>
      <c r="C11" s="29" t="str">
        <f>IF(B11="","",TEXT(B11,"dddd"))</f>
        <v>Jumat</v>
      </c>
      <c r="D11" s="29" t="s">
        <v>65</v>
      </c>
      <c r="E11" s="26" t="s">
        <v>39</v>
      </c>
      <c r="F11" s="29" t="s">
        <v>36</v>
      </c>
      <c r="G11" s="37">
        <v>75000</v>
      </c>
      <c r="H11" s="26" t="s">
        <v>80</v>
      </c>
      <c r="I11" s="26" t="s">
        <v>81</v>
      </c>
    </row>
    <row r="12" ht="21" customHeight="1" spans="1:9" s="21" customFormat="1" x14ac:dyDescent="0.25">
      <c r="A12" s="25">
        <v>9</v>
      </c>
      <c r="B12" s="25" t="s">
        <v>82</v>
      </c>
      <c r="C12" s="25" t="str">
        <f>IF(B12="","",TEXT(B12,"dddd"))</f>
        <v>Sabtu</v>
      </c>
      <c r="D12" s="25" t="s">
        <v>65</v>
      </c>
      <c r="E12" s="22" t="s">
        <v>37</v>
      </c>
      <c r="F12" s="25" t="s">
        <v>36</v>
      </c>
      <c r="G12" s="36">
        <v>60000</v>
      </c>
      <c r="H12" s="22" t="s">
        <v>83</v>
      </c>
      <c r="I12" s="22" t="s">
        <v>84</v>
      </c>
    </row>
    <row r="13" ht="21" customHeight="1" spans="1:9" s="21" customFormat="1" x14ac:dyDescent="0.25">
      <c r="A13" s="29">
        <v>10</v>
      </c>
      <c r="B13" s="29" t="s">
        <v>85</v>
      </c>
      <c r="C13" s="29" t="str">
        <f>IF(B13="","",TEXT(B13,"dddd"))</f>
        <v>Minggu</v>
      </c>
      <c r="D13" s="29" t="s">
        <v>65</v>
      </c>
      <c r="E13" s="26" t="s">
        <v>42</v>
      </c>
      <c r="F13" s="29" t="s">
        <v>41</v>
      </c>
      <c r="G13" s="37">
        <v>50000</v>
      </c>
      <c r="H13" s="26" t="s">
        <v>86</v>
      </c>
      <c r="I13" s="26" t="s">
        <v>87</v>
      </c>
    </row>
    <row r="14" ht="21" customHeight="1" spans="1:9" s="21" customFormat="1" x14ac:dyDescent="0.25">
      <c r="A14" s="25">
        <v>11</v>
      </c>
      <c r="B14" s="25" t="s">
        <v>88</v>
      </c>
      <c r="C14" s="25" t="str">
        <f>IF(B14="","",TEXT(B14,"dddd"))</f>
        <v>Senin</v>
      </c>
      <c r="D14" s="25" t="s">
        <v>65</v>
      </c>
      <c r="E14" s="22" t="s">
        <v>35</v>
      </c>
      <c r="F14" s="25" t="s">
        <v>36</v>
      </c>
      <c r="G14" s="36">
        <v>45000</v>
      </c>
      <c r="H14" s="22" t="s">
        <v>72</v>
      </c>
      <c r="I14" s="22" t="s">
        <v>89</v>
      </c>
    </row>
    <row r="15" ht="21" customHeight="1" spans="1:9" s="21" customFormat="1" x14ac:dyDescent="0.25">
      <c r="A15" s="29">
        <v>12</v>
      </c>
      <c r="B15" s="29" t="s">
        <v>90</v>
      </c>
      <c r="C15" s="29" t="str">
        <f>IF(B15="","",TEXT(B15,"dddd"))</f>
        <v>Selasa</v>
      </c>
      <c r="D15" s="29" t="s">
        <v>65</v>
      </c>
      <c r="E15" s="26" t="s">
        <v>44</v>
      </c>
      <c r="F15" s="29" t="s">
        <v>36</v>
      </c>
      <c r="G15" s="37">
        <v>25000</v>
      </c>
      <c r="H15" s="26" t="s">
        <v>72</v>
      </c>
      <c r="I15" s="26" t="s">
        <v>91</v>
      </c>
    </row>
    <row r="16" ht="21" customHeight="1" spans="1:9" s="21" customFormat="1" x14ac:dyDescent="0.25">
      <c r="A16" s="25">
        <v>13</v>
      </c>
      <c r="B16" s="25" t="s">
        <v>92</v>
      </c>
      <c r="C16" s="25" t="str">
        <f>IF(B16="","",TEXT(B16,"dddd"))</f>
        <v>Rabu</v>
      </c>
      <c r="D16" s="25" t="s">
        <v>65</v>
      </c>
      <c r="E16" s="22" t="s">
        <v>40</v>
      </c>
      <c r="F16" s="25" t="s">
        <v>41</v>
      </c>
      <c r="G16" s="36">
        <v>25000</v>
      </c>
      <c r="H16" s="22" t="s">
        <v>70</v>
      </c>
      <c r="I16" s="22" t="s">
        <v>93</v>
      </c>
    </row>
    <row r="17" ht="21" customHeight="1" spans="1:9" s="21" customFormat="1" x14ac:dyDescent="0.25">
      <c r="A17" s="29">
        <v>14</v>
      </c>
      <c r="B17" s="29" t="s">
        <v>94</v>
      </c>
      <c r="C17" s="29" t="str">
        <f>IF(B17="","",TEXT(B17,"dddd"))</f>
        <v>Kamis</v>
      </c>
      <c r="D17" s="29" t="s">
        <v>65</v>
      </c>
      <c r="E17" s="26" t="s">
        <v>35</v>
      </c>
      <c r="F17" s="29" t="s">
        <v>36</v>
      </c>
      <c r="G17" s="37">
        <v>35000</v>
      </c>
      <c r="H17" s="26" t="s">
        <v>75</v>
      </c>
      <c r="I17" s="26" t="s">
        <v>95</v>
      </c>
    </row>
    <row r="18" ht="21" customHeight="1" spans="1:9" s="21" customFormat="1" x14ac:dyDescent="0.25">
      <c r="A18" s="25">
        <v>15</v>
      </c>
      <c r="B18" s="25" t="s">
        <v>96</v>
      </c>
      <c r="C18" s="25" t="str">
        <f>IF(B18="","",TEXT(B18,"dddd"))</f>
        <v>Jumat</v>
      </c>
      <c r="D18" s="25" t="s">
        <v>65</v>
      </c>
      <c r="E18" s="22" t="s">
        <v>38</v>
      </c>
      <c r="F18" s="25" t="s">
        <v>36</v>
      </c>
      <c r="G18" s="36">
        <v>40000</v>
      </c>
      <c r="H18" s="22" t="s">
        <v>72</v>
      </c>
      <c r="I18" s="22" t="s">
        <v>97</v>
      </c>
    </row>
    <row r="19" ht="21" customHeight="1" spans="1:9" s="21" customFormat="1" x14ac:dyDescent="0.25">
      <c r="A19" s="29">
        <v>16</v>
      </c>
      <c r="B19" s="29" t="s">
        <v>98</v>
      </c>
      <c r="C19" s="29" t="str">
        <f>IF(B19="","",TEXT(B19,"dddd"))</f>
        <v>Sabtu</v>
      </c>
      <c r="D19" s="29" t="s">
        <v>65</v>
      </c>
      <c r="E19" s="26" t="s">
        <v>43</v>
      </c>
      <c r="F19" s="29" t="s">
        <v>41</v>
      </c>
      <c r="G19" s="37">
        <v>85000</v>
      </c>
      <c r="H19" s="26" t="s">
        <v>75</v>
      </c>
      <c r="I19" s="26" t="s">
        <v>99</v>
      </c>
    </row>
    <row r="20" ht="20" customHeight="1" spans="1:9" s="21" customFormat="1" x14ac:dyDescent="0.25">
      <c r="A20" s="25">
        <v>17</v>
      </c>
      <c r="B20" s="25" t="s">
        <v>100</v>
      </c>
      <c r="C20" s="25" t="str">
        <f>IF(B20="","",TEXT(B20,"dddd"))</f>
        <v/>
      </c>
      <c r="D20" s="22" t="s">
        <v>100</v>
      </c>
      <c r="E20" s="22" t="s">
        <v>100</v>
      </c>
      <c r="F20" s="22" t="s">
        <v>100</v>
      </c>
      <c r="G20" s="24" t="s">
        <v>100</v>
      </c>
      <c r="H20" s="22" t="s">
        <v>100</v>
      </c>
      <c r="I20" s="22" t="s">
        <v>100</v>
      </c>
    </row>
    <row r="21" ht="20" customHeight="1" spans="1:9" s="21" customFormat="1" x14ac:dyDescent="0.25">
      <c r="A21" s="25">
        <v>18</v>
      </c>
      <c r="B21" s="25" t="s">
        <v>100</v>
      </c>
      <c r="C21" s="25" t="str">
        <f>IF(B21="","",TEXT(B21,"dddd"))</f>
        <v/>
      </c>
      <c r="D21" s="22" t="s">
        <v>100</v>
      </c>
      <c r="E21" s="22" t="s">
        <v>100</v>
      </c>
      <c r="F21" s="22" t="s">
        <v>100</v>
      </c>
      <c r="G21" s="24" t="s">
        <v>100</v>
      </c>
      <c r="H21" s="22" t="s">
        <v>100</v>
      </c>
      <c r="I21" s="22" t="s">
        <v>100</v>
      </c>
    </row>
    <row r="22" ht="20" customHeight="1" spans="1:9" s="21" customFormat="1" x14ac:dyDescent="0.25">
      <c r="A22" s="25">
        <v>19</v>
      </c>
      <c r="B22" s="25" t="s">
        <v>100</v>
      </c>
      <c r="C22" s="25" t="str">
        <f>IF(B22="","",TEXT(B22,"dddd"))</f>
        <v/>
      </c>
      <c r="D22" s="22" t="s">
        <v>100</v>
      </c>
      <c r="E22" s="22" t="s">
        <v>100</v>
      </c>
      <c r="F22" s="22" t="s">
        <v>100</v>
      </c>
      <c r="G22" s="24" t="s">
        <v>100</v>
      </c>
      <c r="H22" s="22" t="s">
        <v>100</v>
      </c>
      <c r="I22" s="22" t="s">
        <v>100</v>
      </c>
    </row>
    <row r="23" ht="20" customHeight="1" spans="1:9" s="21" customFormat="1" x14ac:dyDescent="0.25">
      <c r="A23" s="25">
        <v>20</v>
      </c>
      <c r="B23" s="25" t="s">
        <v>100</v>
      </c>
      <c r="C23" s="25" t="str">
        <f>IF(B23="","",TEXT(B23,"dddd"))</f>
        <v/>
      </c>
      <c r="D23" s="22" t="s">
        <v>100</v>
      </c>
      <c r="E23" s="22" t="s">
        <v>100</v>
      </c>
      <c r="F23" s="22" t="s">
        <v>100</v>
      </c>
      <c r="G23" s="24" t="s">
        <v>100</v>
      </c>
      <c r="H23" s="22" t="s">
        <v>100</v>
      </c>
      <c r="I23" s="22" t="s">
        <v>100</v>
      </c>
    </row>
    <row r="24" ht="20" customHeight="1" spans="1:9" s="21" customFormat="1" x14ac:dyDescent="0.25">
      <c r="A24" s="25">
        <v>21</v>
      </c>
      <c r="B24" s="25" t="s">
        <v>100</v>
      </c>
      <c r="C24" s="25" t="str">
        <f>IF(B24="","",TEXT(B24,"dddd"))</f>
        <v/>
      </c>
      <c r="D24" s="22" t="s">
        <v>100</v>
      </c>
      <c r="E24" s="22" t="s">
        <v>100</v>
      </c>
      <c r="F24" s="22" t="s">
        <v>100</v>
      </c>
      <c r="G24" s="24" t="s">
        <v>100</v>
      </c>
      <c r="H24" s="22" t="s">
        <v>100</v>
      </c>
      <c r="I24" s="22" t="s">
        <v>100</v>
      </c>
    </row>
    <row r="25" ht="20" customHeight="1" spans="1:9" s="21" customFormat="1" x14ac:dyDescent="0.25">
      <c r="A25" s="25">
        <v>22</v>
      </c>
      <c r="B25" s="25" t="s">
        <v>100</v>
      </c>
      <c r="C25" s="25" t="str">
        <f>IF(B25="","",TEXT(B25,"dddd"))</f>
        <v/>
      </c>
      <c r="D25" s="22" t="s">
        <v>100</v>
      </c>
      <c r="E25" s="22" t="s">
        <v>100</v>
      </c>
      <c r="F25" s="22" t="s">
        <v>100</v>
      </c>
      <c r="G25" s="24" t="s">
        <v>100</v>
      </c>
      <c r="H25" s="22" t="s">
        <v>100</v>
      </c>
      <c r="I25" s="22" t="s">
        <v>100</v>
      </c>
    </row>
    <row r="26" ht="20" customHeight="1" spans="1:9" s="21" customFormat="1" x14ac:dyDescent="0.25">
      <c r="A26" s="25">
        <v>23</v>
      </c>
      <c r="B26" s="25" t="s">
        <v>100</v>
      </c>
      <c r="C26" s="25" t="str">
        <f>IF(B26="","",TEXT(B26,"dddd"))</f>
        <v/>
      </c>
      <c r="D26" s="22" t="s">
        <v>100</v>
      </c>
      <c r="E26" s="22" t="s">
        <v>100</v>
      </c>
      <c r="F26" s="22" t="s">
        <v>100</v>
      </c>
      <c r="G26" s="24" t="s">
        <v>100</v>
      </c>
      <c r="H26" s="22" t="s">
        <v>100</v>
      </c>
      <c r="I26" s="22" t="s">
        <v>100</v>
      </c>
    </row>
    <row r="27" ht="20" customHeight="1" spans="1:9" s="21" customFormat="1" x14ac:dyDescent="0.25">
      <c r="A27" s="25">
        <v>24</v>
      </c>
      <c r="B27" s="25" t="s">
        <v>100</v>
      </c>
      <c r="C27" s="25" t="str">
        <f>IF(B27="","",TEXT(B27,"dddd"))</f>
        <v/>
      </c>
      <c r="D27" s="22" t="s">
        <v>100</v>
      </c>
      <c r="E27" s="22" t="s">
        <v>100</v>
      </c>
      <c r="F27" s="22" t="s">
        <v>100</v>
      </c>
      <c r="G27" s="24" t="s">
        <v>100</v>
      </c>
      <c r="H27" s="22" t="s">
        <v>100</v>
      </c>
      <c r="I27" s="22" t="s">
        <v>100</v>
      </c>
    </row>
    <row r="28" ht="20" customHeight="1" spans="1:9" s="21" customFormat="1" x14ac:dyDescent="0.25">
      <c r="A28" s="25">
        <v>25</v>
      </c>
      <c r="B28" s="25" t="s">
        <v>100</v>
      </c>
      <c r="C28" s="25" t="str">
        <f>IF(B28="","",TEXT(B28,"dddd"))</f>
        <v/>
      </c>
      <c r="D28" s="22" t="s">
        <v>100</v>
      </c>
      <c r="E28" s="22" t="s">
        <v>100</v>
      </c>
      <c r="F28" s="22" t="s">
        <v>100</v>
      </c>
      <c r="G28" s="24" t="s">
        <v>100</v>
      </c>
      <c r="H28" s="22" t="s">
        <v>100</v>
      </c>
      <c r="I28" s="22" t="s">
        <v>100</v>
      </c>
    </row>
    <row r="29" ht="20" customHeight="1" spans="1:9" s="21" customFormat="1" x14ac:dyDescent="0.25">
      <c r="A29" s="25">
        <v>26</v>
      </c>
      <c r="B29" s="25" t="s">
        <v>100</v>
      </c>
      <c r="C29" s="25" t="str">
        <f>IF(B29="","",TEXT(B29,"dddd"))</f>
        <v/>
      </c>
      <c r="D29" s="22" t="s">
        <v>100</v>
      </c>
      <c r="E29" s="22" t="s">
        <v>100</v>
      </c>
      <c r="F29" s="22" t="s">
        <v>100</v>
      </c>
      <c r="G29" s="24" t="s">
        <v>100</v>
      </c>
      <c r="H29" s="22" t="s">
        <v>100</v>
      </c>
      <c r="I29" s="22" t="s">
        <v>100</v>
      </c>
    </row>
    <row r="30" ht="20" customHeight="1" spans="1:9" s="21" customFormat="1" x14ac:dyDescent="0.25">
      <c r="A30" s="25">
        <v>27</v>
      </c>
      <c r="B30" s="25" t="s">
        <v>100</v>
      </c>
      <c r="C30" s="25" t="str">
        <f>IF(B30="","",TEXT(B30,"dddd"))</f>
        <v/>
      </c>
      <c r="D30" s="22" t="s">
        <v>100</v>
      </c>
      <c r="E30" s="22" t="s">
        <v>100</v>
      </c>
      <c r="F30" s="22" t="s">
        <v>100</v>
      </c>
      <c r="G30" s="24" t="s">
        <v>100</v>
      </c>
      <c r="H30" s="22" t="s">
        <v>100</v>
      </c>
      <c r="I30" s="22" t="s">
        <v>100</v>
      </c>
    </row>
    <row r="31" ht="20" customHeight="1" spans="1:9" s="21" customFormat="1" x14ac:dyDescent="0.25">
      <c r="A31" s="25">
        <v>28</v>
      </c>
      <c r="B31" s="25" t="s">
        <v>100</v>
      </c>
      <c r="C31" s="25" t="str">
        <f>IF(B31="","",TEXT(B31,"dddd"))</f>
        <v/>
      </c>
      <c r="D31" s="22" t="s">
        <v>100</v>
      </c>
      <c r="E31" s="22" t="s">
        <v>100</v>
      </c>
      <c r="F31" s="22" t="s">
        <v>100</v>
      </c>
      <c r="G31" s="24" t="s">
        <v>100</v>
      </c>
      <c r="H31" s="22" t="s">
        <v>100</v>
      </c>
      <c r="I31" s="22" t="s">
        <v>100</v>
      </c>
    </row>
    <row r="32" ht="20" customHeight="1" spans="1:9" s="21" customFormat="1" x14ac:dyDescent="0.25">
      <c r="A32" s="25">
        <v>29</v>
      </c>
      <c r="B32" s="25" t="s">
        <v>100</v>
      </c>
      <c r="C32" s="25" t="str">
        <f>IF(B32="","",TEXT(B32,"dddd"))</f>
        <v/>
      </c>
      <c r="D32" s="22" t="s">
        <v>100</v>
      </c>
      <c r="E32" s="22" t="s">
        <v>100</v>
      </c>
      <c r="F32" s="22" t="s">
        <v>100</v>
      </c>
      <c r="G32" s="24" t="s">
        <v>100</v>
      </c>
      <c r="H32" s="22" t="s">
        <v>100</v>
      </c>
      <c r="I32" s="22" t="s">
        <v>100</v>
      </c>
    </row>
    <row r="33" ht="20" customHeight="1" spans="1:9" s="21" customFormat="1" x14ac:dyDescent="0.25">
      <c r="A33" s="25">
        <v>30</v>
      </c>
      <c r="B33" s="25" t="s">
        <v>100</v>
      </c>
      <c r="C33" s="25" t="str">
        <f>IF(B33="","",TEXT(B33,"dddd"))</f>
        <v/>
      </c>
      <c r="D33" s="22" t="s">
        <v>100</v>
      </c>
      <c r="E33" s="22" t="s">
        <v>100</v>
      </c>
      <c r="F33" s="22" t="s">
        <v>100</v>
      </c>
      <c r="G33" s="24" t="s">
        <v>100</v>
      </c>
      <c r="H33" s="22" t="s">
        <v>100</v>
      </c>
      <c r="I33" s="22" t="s">
        <v>100</v>
      </c>
    </row>
    <row r="34" ht="20" customHeight="1" spans="1:9" s="21" customFormat="1" x14ac:dyDescent="0.25">
      <c r="A34" s="25">
        <v>31</v>
      </c>
      <c r="B34" s="25" t="s">
        <v>100</v>
      </c>
      <c r="C34" s="25" t="str">
        <f>IF(B34="","",TEXT(B34,"dddd"))</f>
        <v/>
      </c>
      <c r="D34" s="22" t="s">
        <v>100</v>
      </c>
      <c r="E34" s="22" t="s">
        <v>100</v>
      </c>
      <c r="F34" s="22" t="s">
        <v>100</v>
      </c>
      <c r="G34" s="24" t="s">
        <v>100</v>
      </c>
      <c r="H34" s="22" t="s">
        <v>100</v>
      </c>
      <c r="I34" s="22" t="s">
        <v>100</v>
      </c>
    </row>
    <row r="35" ht="20" customHeight="1" spans="1:9" s="21" customFormat="1" x14ac:dyDescent="0.25">
      <c r="A35" s="25">
        <v>32</v>
      </c>
      <c r="B35" s="25" t="s">
        <v>100</v>
      </c>
      <c r="C35" s="25" t="str">
        <f>IF(B35="","",TEXT(B35,"dddd"))</f>
        <v/>
      </c>
      <c r="D35" s="22" t="s">
        <v>100</v>
      </c>
      <c r="E35" s="22" t="s">
        <v>100</v>
      </c>
      <c r="F35" s="22" t="s">
        <v>100</v>
      </c>
      <c r="G35" s="24" t="s">
        <v>100</v>
      </c>
      <c r="H35" s="22" t="s">
        <v>100</v>
      </c>
      <c r="I35" s="22" t="s">
        <v>100</v>
      </c>
    </row>
    <row r="36" ht="20" customHeight="1" spans="1:9" s="21" customFormat="1" x14ac:dyDescent="0.25">
      <c r="A36" s="25">
        <v>33</v>
      </c>
      <c r="B36" s="25" t="s">
        <v>100</v>
      </c>
      <c r="C36" s="25" t="str">
        <f>IF(B36="","",TEXT(B36,"dddd"))</f>
        <v/>
      </c>
      <c r="D36" s="22" t="s">
        <v>100</v>
      </c>
      <c r="E36" s="22" t="s">
        <v>100</v>
      </c>
      <c r="F36" s="22" t="s">
        <v>100</v>
      </c>
      <c r="G36" s="24" t="s">
        <v>100</v>
      </c>
      <c r="H36" s="22" t="s">
        <v>100</v>
      </c>
      <c r="I36" s="22" t="s">
        <v>100</v>
      </c>
    </row>
    <row r="37" ht="20" customHeight="1" spans="1:9" s="21" customFormat="1" x14ac:dyDescent="0.25">
      <c r="A37" s="25">
        <v>34</v>
      </c>
      <c r="B37" s="25" t="s">
        <v>100</v>
      </c>
      <c r="C37" s="25" t="str">
        <f>IF(B37="","",TEXT(B37,"dddd"))</f>
        <v/>
      </c>
      <c r="D37" s="22" t="s">
        <v>100</v>
      </c>
      <c r="E37" s="22" t="s">
        <v>100</v>
      </c>
      <c r="F37" s="22" t="s">
        <v>100</v>
      </c>
      <c r="G37" s="24" t="s">
        <v>100</v>
      </c>
      <c r="H37" s="22" t="s">
        <v>100</v>
      </c>
      <c r="I37" s="22" t="s">
        <v>100</v>
      </c>
    </row>
    <row r="38" ht="20" customHeight="1" spans="1:9" s="21" customFormat="1" x14ac:dyDescent="0.25">
      <c r="A38" s="25">
        <v>35</v>
      </c>
      <c r="B38" s="25" t="s">
        <v>100</v>
      </c>
      <c r="C38" s="25" t="str">
        <f>IF(B38="","",TEXT(B38,"dddd"))</f>
        <v/>
      </c>
      <c r="D38" s="22" t="s">
        <v>100</v>
      </c>
      <c r="E38" s="22" t="s">
        <v>100</v>
      </c>
      <c r="F38" s="22" t="s">
        <v>100</v>
      </c>
      <c r="G38" s="24" t="s">
        <v>100</v>
      </c>
      <c r="H38" s="22" t="s">
        <v>100</v>
      </c>
      <c r="I38" s="22" t="s">
        <v>100</v>
      </c>
    </row>
    <row r="39" ht="20" customHeight="1" spans="1:9" s="21" customFormat="1" x14ac:dyDescent="0.25">
      <c r="A39" s="25">
        <v>36</v>
      </c>
      <c r="B39" s="25" t="s">
        <v>100</v>
      </c>
      <c r="C39" s="25" t="str">
        <f>IF(B39="","",TEXT(B39,"dddd"))</f>
        <v/>
      </c>
      <c r="D39" s="22" t="s">
        <v>100</v>
      </c>
      <c r="E39" s="22" t="s">
        <v>100</v>
      </c>
      <c r="F39" s="22" t="s">
        <v>100</v>
      </c>
      <c r="G39" s="24" t="s">
        <v>100</v>
      </c>
      <c r="H39" s="22" t="s">
        <v>100</v>
      </c>
      <c r="I39" s="22" t="s">
        <v>100</v>
      </c>
    </row>
    <row r="40" ht="20" customHeight="1" spans="1:9" s="21" customFormat="1" x14ac:dyDescent="0.25">
      <c r="A40" s="25">
        <v>37</v>
      </c>
      <c r="B40" s="25" t="s">
        <v>100</v>
      </c>
      <c r="C40" s="25" t="str">
        <f>IF(B40="","",TEXT(B40,"dddd"))</f>
        <v/>
      </c>
      <c r="D40" s="22" t="s">
        <v>100</v>
      </c>
      <c r="E40" s="22" t="s">
        <v>100</v>
      </c>
      <c r="F40" s="22" t="s">
        <v>100</v>
      </c>
      <c r="G40" s="24" t="s">
        <v>100</v>
      </c>
      <c r="H40" s="22" t="s">
        <v>100</v>
      </c>
      <c r="I40" s="22" t="s">
        <v>100</v>
      </c>
    </row>
    <row r="41" ht="20" customHeight="1" spans="1:9" s="21" customFormat="1" x14ac:dyDescent="0.25">
      <c r="A41" s="25">
        <v>38</v>
      </c>
      <c r="B41" s="25" t="s">
        <v>100</v>
      </c>
      <c r="C41" s="25" t="str">
        <f>IF(B41="","",TEXT(B41,"dddd"))</f>
        <v/>
      </c>
      <c r="D41" s="22" t="s">
        <v>100</v>
      </c>
      <c r="E41" s="22" t="s">
        <v>100</v>
      </c>
      <c r="F41" s="22" t="s">
        <v>100</v>
      </c>
      <c r="G41" s="24" t="s">
        <v>100</v>
      </c>
      <c r="H41" s="22" t="s">
        <v>100</v>
      </c>
      <c r="I41" s="22" t="s">
        <v>100</v>
      </c>
    </row>
    <row r="42" ht="20" customHeight="1" spans="1:9" s="21" customFormat="1" x14ac:dyDescent="0.25">
      <c r="A42" s="25">
        <v>39</v>
      </c>
      <c r="B42" s="25" t="s">
        <v>100</v>
      </c>
      <c r="C42" s="25" t="str">
        <f>IF(B42="","",TEXT(B42,"dddd"))</f>
        <v/>
      </c>
      <c r="D42" s="22" t="s">
        <v>100</v>
      </c>
      <c r="E42" s="22" t="s">
        <v>100</v>
      </c>
      <c r="F42" s="22" t="s">
        <v>100</v>
      </c>
      <c r="G42" s="24" t="s">
        <v>100</v>
      </c>
      <c r="H42" s="22" t="s">
        <v>100</v>
      </c>
      <c r="I42" s="22" t="s">
        <v>100</v>
      </c>
    </row>
    <row r="43" ht="20" customHeight="1" spans="1:9" s="21" customFormat="1" x14ac:dyDescent="0.25">
      <c r="A43" s="25">
        <v>40</v>
      </c>
      <c r="B43" s="25" t="s">
        <v>100</v>
      </c>
      <c r="C43" s="25" t="str">
        <f>IF(B43="","",TEXT(B43,"dddd"))</f>
        <v/>
      </c>
      <c r="D43" s="22" t="s">
        <v>100</v>
      </c>
      <c r="E43" s="22" t="s">
        <v>100</v>
      </c>
      <c r="F43" s="22" t="s">
        <v>100</v>
      </c>
      <c r="G43" s="24" t="s">
        <v>100</v>
      </c>
      <c r="H43" s="22" t="s">
        <v>100</v>
      </c>
      <c r="I43" s="22" t="s">
        <v>100</v>
      </c>
    </row>
    <row r="44" ht="20" customHeight="1" spans="1:9" s="21" customFormat="1" x14ac:dyDescent="0.25">
      <c r="A44" s="25">
        <v>41</v>
      </c>
      <c r="B44" s="25" t="s">
        <v>100</v>
      </c>
      <c r="C44" s="25" t="str">
        <f>IF(B44="","",TEXT(B44,"dddd"))</f>
        <v/>
      </c>
      <c r="D44" s="22" t="s">
        <v>100</v>
      </c>
      <c r="E44" s="22" t="s">
        <v>100</v>
      </c>
      <c r="F44" s="22" t="s">
        <v>100</v>
      </c>
      <c r="G44" s="24" t="s">
        <v>100</v>
      </c>
      <c r="H44" s="22" t="s">
        <v>100</v>
      </c>
      <c r="I44" s="22" t="s">
        <v>100</v>
      </c>
    </row>
    <row r="45" ht="20" customHeight="1" spans="1:9" s="21" customFormat="1" x14ac:dyDescent="0.25">
      <c r="A45" s="25">
        <v>42</v>
      </c>
      <c r="B45" s="25" t="s">
        <v>100</v>
      </c>
      <c r="C45" s="25" t="str">
        <f>IF(B45="","",TEXT(B45,"dddd"))</f>
        <v/>
      </c>
      <c r="D45" s="22" t="s">
        <v>100</v>
      </c>
      <c r="E45" s="22" t="s">
        <v>100</v>
      </c>
      <c r="F45" s="22" t="s">
        <v>100</v>
      </c>
      <c r="G45" s="24" t="s">
        <v>100</v>
      </c>
      <c r="H45" s="22" t="s">
        <v>100</v>
      </c>
      <c r="I45" s="22" t="s">
        <v>100</v>
      </c>
    </row>
    <row r="46" ht="20" customHeight="1" spans="1:9" s="21" customFormat="1" x14ac:dyDescent="0.25">
      <c r="A46" s="25">
        <v>43</v>
      </c>
      <c r="B46" s="25" t="s">
        <v>100</v>
      </c>
      <c r="C46" s="25" t="str">
        <f>IF(B46="","",TEXT(B46,"dddd"))</f>
        <v/>
      </c>
      <c r="D46" s="22" t="s">
        <v>100</v>
      </c>
      <c r="E46" s="22" t="s">
        <v>100</v>
      </c>
      <c r="F46" s="22" t="s">
        <v>100</v>
      </c>
      <c r="G46" s="24" t="s">
        <v>100</v>
      </c>
      <c r="H46" s="22" t="s">
        <v>100</v>
      </c>
      <c r="I46" s="22" t="s">
        <v>100</v>
      </c>
    </row>
    <row r="47" ht="20" customHeight="1" spans="1:9" s="21" customFormat="1" x14ac:dyDescent="0.25">
      <c r="A47" s="25">
        <v>44</v>
      </c>
      <c r="B47" s="25" t="s">
        <v>100</v>
      </c>
      <c r="C47" s="25" t="str">
        <f>IF(B47="","",TEXT(B47,"dddd"))</f>
        <v/>
      </c>
      <c r="D47" s="22" t="s">
        <v>100</v>
      </c>
      <c r="E47" s="22" t="s">
        <v>100</v>
      </c>
      <c r="F47" s="22" t="s">
        <v>100</v>
      </c>
      <c r="G47" s="24" t="s">
        <v>100</v>
      </c>
      <c r="H47" s="22" t="s">
        <v>100</v>
      </c>
      <c r="I47" s="22" t="s">
        <v>100</v>
      </c>
    </row>
    <row r="48" ht="20" customHeight="1" spans="1:9" s="21" customFormat="1" x14ac:dyDescent="0.25">
      <c r="A48" s="25">
        <v>45</v>
      </c>
      <c r="B48" s="25" t="s">
        <v>100</v>
      </c>
      <c r="C48" s="25" t="str">
        <f>IF(B48="","",TEXT(B48,"dddd"))</f>
        <v/>
      </c>
      <c r="D48" s="22" t="s">
        <v>100</v>
      </c>
      <c r="E48" s="22" t="s">
        <v>100</v>
      </c>
      <c r="F48" s="22" t="s">
        <v>100</v>
      </c>
      <c r="G48" s="24" t="s">
        <v>100</v>
      </c>
      <c r="H48" s="22" t="s">
        <v>100</v>
      </c>
      <c r="I48" s="22" t="s">
        <v>100</v>
      </c>
    </row>
    <row r="49" ht="20" customHeight="1" spans="1:9" s="21" customFormat="1" x14ac:dyDescent="0.25">
      <c r="A49" s="25">
        <v>46</v>
      </c>
      <c r="B49" s="25" t="s">
        <v>100</v>
      </c>
      <c r="C49" s="25" t="str">
        <f>IF(B49="","",TEXT(B49,"dddd"))</f>
        <v/>
      </c>
      <c r="D49" s="22" t="s">
        <v>100</v>
      </c>
      <c r="E49" s="22" t="s">
        <v>100</v>
      </c>
      <c r="F49" s="22" t="s">
        <v>100</v>
      </c>
      <c r="G49" s="24" t="s">
        <v>100</v>
      </c>
      <c r="H49" s="22" t="s">
        <v>100</v>
      </c>
      <c r="I49" s="22" t="s">
        <v>100</v>
      </c>
    </row>
    <row r="50" ht="20" customHeight="1" spans="1:9" s="21" customFormat="1" x14ac:dyDescent="0.25">
      <c r="A50" s="25">
        <v>47</v>
      </c>
      <c r="B50" s="25" t="s">
        <v>100</v>
      </c>
      <c r="C50" s="25" t="str">
        <f>IF(B50="","",TEXT(B50,"dddd"))</f>
        <v/>
      </c>
      <c r="D50" s="22" t="s">
        <v>100</v>
      </c>
      <c r="E50" s="22" t="s">
        <v>100</v>
      </c>
      <c r="F50" s="22" t="s">
        <v>100</v>
      </c>
      <c r="G50" s="24" t="s">
        <v>100</v>
      </c>
      <c r="H50" s="22" t="s">
        <v>100</v>
      </c>
      <c r="I50" s="22" t="s">
        <v>100</v>
      </c>
    </row>
    <row r="51" ht="20" customHeight="1" spans="1:9" s="21" customFormat="1" x14ac:dyDescent="0.25">
      <c r="A51" s="25">
        <v>48</v>
      </c>
      <c r="B51" s="25" t="s">
        <v>100</v>
      </c>
      <c r="C51" s="25" t="str">
        <f>IF(B51="","",TEXT(B51,"dddd"))</f>
        <v/>
      </c>
      <c r="D51" s="22" t="s">
        <v>100</v>
      </c>
      <c r="E51" s="22" t="s">
        <v>100</v>
      </c>
      <c r="F51" s="22" t="s">
        <v>100</v>
      </c>
      <c r="G51" s="24" t="s">
        <v>100</v>
      </c>
      <c r="H51" s="22" t="s">
        <v>100</v>
      </c>
      <c r="I51" s="22" t="s">
        <v>100</v>
      </c>
    </row>
    <row r="52" ht="20" customHeight="1" spans="1:9" s="21" customFormat="1" x14ac:dyDescent="0.25">
      <c r="A52" s="25">
        <v>49</v>
      </c>
      <c r="B52" s="25" t="s">
        <v>100</v>
      </c>
      <c r="C52" s="25" t="str">
        <f>IF(B52="","",TEXT(B52,"dddd"))</f>
        <v/>
      </c>
      <c r="D52" s="22" t="s">
        <v>100</v>
      </c>
      <c r="E52" s="22" t="s">
        <v>100</v>
      </c>
      <c r="F52" s="22" t="s">
        <v>100</v>
      </c>
      <c r="G52" s="24" t="s">
        <v>100</v>
      </c>
      <c r="H52" s="22" t="s">
        <v>100</v>
      </c>
      <c r="I52" s="22" t="s">
        <v>100</v>
      </c>
    </row>
    <row r="53" ht="20" customHeight="1" spans="1:9" s="21" customFormat="1" x14ac:dyDescent="0.25">
      <c r="A53" s="25">
        <v>50</v>
      </c>
      <c r="B53" s="25" t="s">
        <v>100</v>
      </c>
      <c r="C53" s="25" t="str">
        <f>IF(B53="","",TEXT(B53,"dddd"))</f>
        <v/>
      </c>
      <c r="D53" s="22" t="s">
        <v>100</v>
      </c>
      <c r="E53" s="22" t="s">
        <v>100</v>
      </c>
      <c r="F53" s="22" t="s">
        <v>100</v>
      </c>
      <c r="G53" s="24" t="s">
        <v>100</v>
      </c>
      <c r="H53" s="22" t="s">
        <v>100</v>
      </c>
      <c r="I53" s="22" t="s">
        <v>100</v>
      </c>
    </row>
    <row r="54" ht="20" customHeight="1" spans="1:9" s="21" customFormat="1" x14ac:dyDescent="0.25">
      <c r="A54" s="25">
        <v>51</v>
      </c>
      <c r="B54" s="25" t="s">
        <v>100</v>
      </c>
      <c r="C54" s="25" t="str">
        <f>IF(B54="","",TEXT(B54,"dddd"))</f>
        <v/>
      </c>
      <c r="D54" s="22" t="s">
        <v>100</v>
      </c>
      <c r="E54" s="22" t="s">
        <v>100</v>
      </c>
      <c r="F54" s="22" t="s">
        <v>100</v>
      </c>
      <c r="G54" s="24" t="s">
        <v>100</v>
      </c>
      <c r="H54" s="22" t="s">
        <v>100</v>
      </c>
      <c r="I54" s="22" t="s">
        <v>100</v>
      </c>
    </row>
    <row r="55" ht="20" customHeight="1" spans="1:9" s="21" customFormat="1" x14ac:dyDescent="0.25">
      <c r="A55" s="25">
        <v>52</v>
      </c>
      <c r="B55" s="25" t="s">
        <v>100</v>
      </c>
      <c r="C55" s="25" t="str">
        <f>IF(B55="","",TEXT(B55,"dddd"))</f>
        <v/>
      </c>
      <c r="D55" s="22" t="s">
        <v>100</v>
      </c>
      <c r="E55" s="22" t="s">
        <v>100</v>
      </c>
      <c r="F55" s="22" t="s">
        <v>100</v>
      </c>
      <c r="G55" s="24" t="s">
        <v>100</v>
      </c>
      <c r="H55" s="22" t="s">
        <v>100</v>
      </c>
      <c r="I55" s="22" t="s">
        <v>100</v>
      </c>
    </row>
    <row r="56" ht="20" customHeight="1" spans="1:9" s="21" customFormat="1" x14ac:dyDescent="0.25">
      <c r="A56" s="25">
        <v>53</v>
      </c>
      <c r="B56" s="25" t="s">
        <v>100</v>
      </c>
      <c r="C56" s="25" t="str">
        <f>IF(B56="","",TEXT(B56,"dddd"))</f>
        <v/>
      </c>
      <c r="D56" s="22" t="s">
        <v>100</v>
      </c>
      <c r="E56" s="22" t="s">
        <v>100</v>
      </c>
      <c r="F56" s="22" t="s">
        <v>100</v>
      </c>
      <c r="G56" s="24" t="s">
        <v>100</v>
      </c>
      <c r="H56" s="22" t="s">
        <v>100</v>
      </c>
      <c r="I56" s="22" t="s">
        <v>100</v>
      </c>
    </row>
    <row r="57" ht="20" customHeight="1" spans="1:9" s="21" customFormat="1" x14ac:dyDescent="0.25">
      <c r="A57" s="25">
        <v>54</v>
      </c>
      <c r="B57" s="25" t="s">
        <v>100</v>
      </c>
      <c r="C57" s="25" t="str">
        <f>IF(B57="","",TEXT(B57,"dddd"))</f>
        <v/>
      </c>
      <c r="D57" s="22" t="s">
        <v>100</v>
      </c>
      <c r="E57" s="22" t="s">
        <v>100</v>
      </c>
      <c r="F57" s="22" t="s">
        <v>100</v>
      </c>
      <c r="G57" s="24" t="s">
        <v>100</v>
      </c>
      <c r="H57" s="22" t="s">
        <v>100</v>
      </c>
      <c r="I57" s="22" t="s">
        <v>100</v>
      </c>
    </row>
    <row r="58" ht="20" customHeight="1" spans="1:9" s="21" customFormat="1" x14ac:dyDescent="0.25">
      <c r="A58" s="25">
        <v>55</v>
      </c>
      <c r="B58" s="25" t="s">
        <v>100</v>
      </c>
      <c r="C58" s="25" t="str">
        <f>IF(B58="","",TEXT(B58,"dddd"))</f>
        <v/>
      </c>
      <c r="D58" s="22" t="s">
        <v>100</v>
      </c>
      <c r="E58" s="22" t="s">
        <v>100</v>
      </c>
      <c r="F58" s="22" t="s">
        <v>100</v>
      </c>
      <c r="G58" s="24" t="s">
        <v>100</v>
      </c>
      <c r="H58" s="22" t="s">
        <v>100</v>
      </c>
      <c r="I58" s="22" t="s">
        <v>100</v>
      </c>
    </row>
    <row r="59" ht="20" customHeight="1" spans="1:9" s="21" customFormat="1" x14ac:dyDescent="0.25">
      <c r="A59" s="25">
        <v>56</v>
      </c>
      <c r="B59" s="25" t="s">
        <v>100</v>
      </c>
      <c r="C59" s="25" t="str">
        <f>IF(B59="","",TEXT(B59,"dddd"))</f>
        <v/>
      </c>
      <c r="D59" s="22" t="s">
        <v>100</v>
      </c>
      <c r="E59" s="22" t="s">
        <v>100</v>
      </c>
      <c r="F59" s="22" t="s">
        <v>100</v>
      </c>
      <c r="G59" s="24" t="s">
        <v>100</v>
      </c>
      <c r="H59" s="22" t="s">
        <v>100</v>
      </c>
      <c r="I59" s="22" t="s">
        <v>100</v>
      </c>
    </row>
    <row r="60" ht="20" customHeight="1" spans="1:9" s="21" customFormat="1" x14ac:dyDescent="0.25">
      <c r="A60" s="25">
        <v>57</v>
      </c>
      <c r="B60" s="25" t="s">
        <v>100</v>
      </c>
      <c r="C60" s="25" t="str">
        <f>IF(B60="","",TEXT(B60,"dddd"))</f>
        <v/>
      </c>
      <c r="D60" s="22" t="s">
        <v>100</v>
      </c>
      <c r="E60" s="22" t="s">
        <v>100</v>
      </c>
      <c r="F60" s="22" t="s">
        <v>100</v>
      </c>
      <c r="G60" s="24" t="s">
        <v>100</v>
      </c>
      <c r="H60" s="22" t="s">
        <v>100</v>
      </c>
      <c r="I60" s="22" t="s">
        <v>100</v>
      </c>
    </row>
    <row r="61" ht="20" customHeight="1" spans="1:9" s="21" customFormat="1" x14ac:dyDescent="0.25">
      <c r="A61" s="25">
        <v>58</v>
      </c>
      <c r="B61" s="25" t="s">
        <v>100</v>
      </c>
      <c r="C61" s="25" t="str">
        <f>IF(B61="","",TEXT(B61,"dddd"))</f>
        <v/>
      </c>
      <c r="D61" s="22" t="s">
        <v>100</v>
      </c>
      <c r="E61" s="22" t="s">
        <v>100</v>
      </c>
      <c r="F61" s="22" t="s">
        <v>100</v>
      </c>
      <c r="G61" s="24" t="s">
        <v>100</v>
      </c>
      <c r="H61" s="22" t="s">
        <v>100</v>
      </c>
      <c r="I61" s="22" t="s">
        <v>100</v>
      </c>
    </row>
    <row r="62" ht="20" customHeight="1" spans="1:9" s="21" customFormat="1" x14ac:dyDescent="0.25">
      <c r="A62" s="25">
        <v>59</v>
      </c>
      <c r="B62" s="25" t="s">
        <v>100</v>
      </c>
      <c r="C62" s="25" t="str">
        <f>IF(B62="","",TEXT(B62,"dddd"))</f>
        <v/>
      </c>
      <c r="D62" s="22" t="s">
        <v>100</v>
      </c>
      <c r="E62" s="22" t="s">
        <v>100</v>
      </c>
      <c r="F62" s="22" t="s">
        <v>100</v>
      </c>
      <c r="G62" s="24" t="s">
        <v>100</v>
      </c>
      <c r="H62" s="22" t="s">
        <v>100</v>
      </c>
      <c r="I62" s="22" t="s">
        <v>100</v>
      </c>
    </row>
    <row r="63" ht="20" customHeight="1" spans="1:9" s="21" customFormat="1" x14ac:dyDescent="0.25">
      <c r="A63" s="25">
        <v>60</v>
      </c>
      <c r="B63" s="25" t="s">
        <v>100</v>
      </c>
      <c r="C63" s="25" t="str">
        <f>IF(B63="","",TEXT(B63,"dddd"))</f>
        <v/>
      </c>
      <c r="D63" s="22" t="s">
        <v>100</v>
      </c>
      <c r="E63" s="22" t="s">
        <v>100</v>
      </c>
      <c r="F63" s="22" t="s">
        <v>100</v>
      </c>
      <c r="G63" s="24" t="s">
        <v>100</v>
      </c>
      <c r="H63" s="22" t="s">
        <v>100</v>
      </c>
      <c r="I63" s="22" t="s">
        <v>100</v>
      </c>
    </row>
    <row r="64" ht="20" customHeight="1" spans="1:9" s="21" customFormat="1" x14ac:dyDescent="0.25">
      <c r="A64" s="25">
        <v>61</v>
      </c>
      <c r="B64" s="25" t="s">
        <v>100</v>
      </c>
      <c r="C64" s="25" t="str">
        <f>IF(B64="","",TEXT(B64,"dddd"))</f>
        <v/>
      </c>
      <c r="D64" s="22" t="s">
        <v>100</v>
      </c>
      <c r="E64" s="22" t="s">
        <v>100</v>
      </c>
      <c r="F64" s="22" t="s">
        <v>100</v>
      </c>
      <c r="G64" s="24" t="s">
        <v>100</v>
      </c>
      <c r="H64" s="22" t="s">
        <v>100</v>
      </c>
      <c r="I64" s="22" t="s">
        <v>100</v>
      </c>
    </row>
    <row r="65" ht="20" customHeight="1" spans="1:9" s="21" customFormat="1" x14ac:dyDescent="0.25">
      <c r="A65" s="25">
        <v>62</v>
      </c>
      <c r="B65" s="25" t="s">
        <v>100</v>
      </c>
      <c r="C65" s="25" t="str">
        <f>IF(B65="","",TEXT(B65,"dddd"))</f>
        <v/>
      </c>
      <c r="D65" s="22" t="s">
        <v>100</v>
      </c>
      <c r="E65" s="22" t="s">
        <v>100</v>
      </c>
      <c r="F65" s="22" t="s">
        <v>100</v>
      </c>
      <c r="G65" s="24" t="s">
        <v>100</v>
      </c>
      <c r="H65" s="22" t="s">
        <v>100</v>
      </c>
      <c r="I65" s="22" t="s">
        <v>100</v>
      </c>
    </row>
    <row r="66" ht="20" customHeight="1" spans="1:9" s="21" customFormat="1" x14ac:dyDescent="0.25">
      <c r="A66" s="25">
        <v>63</v>
      </c>
      <c r="B66" s="25" t="s">
        <v>100</v>
      </c>
      <c r="C66" s="25" t="str">
        <f>IF(B66="","",TEXT(B66,"dddd"))</f>
        <v/>
      </c>
      <c r="D66" s="22" t="s">
        <v>100</v>
      </c>
      <c r="E66" s="22" t="s">
        <v>100</v>
      </c>
      <c r="F66" s="22" t="s">
        <v>100</v>
      </c>
      <c r="G66" s="24" t="s">
        <v>100</v>
      </c>
      <c r="H66" s="22" t="s">
        <v>100</v>
      </c>
      <c r="I66" s="22" t="s">
        <v>100</v>
      </c>
    </row>
    <row r="67" ht="20" customHeight="1" spans="1:9" s="21" customFormat="1" x14ac:dyDescent="0.25">
      <c r="A67" s="25">
        <v>64</v>
      </c>
      <c r="B67" s="25" t="s">
        <v>100</v>
      </c>
      <c r="C67" s="25" t="str">
        <f>IF(B67="","",TEXT(B67,"dddd"))</f>
        <v/>
      </c>
      <c r="D67" s="22" t="s">
        <v>100</v>
      </c>
      <c r="E67" s="22" t="s">
        <v>100</v>
      </c>
      <c r="F67" s="22" t="s">
        <v>100</v>
      </c>
      <c r="G67" s="24" t="s">
        <v>100</v>
      </c>
      <c r="H67" s="22" t="s">
        <v>100</v>
      </c>
      <c r="I67" s="22" t="s">
        <v>100</v>
      </c>
    </row>
    <row r="68" ht="20" customHeight="1" spans="1:9" s="21" customFormat="1" x14ac:dyDescent="0.25">
      <c r="A68" s="25">
        <v>65</v>
      </c>
      <c r="B68" s="25" t="s">
        <v>100</v>
      </c>
      <c r="C68" s="25" t="str">
        <f>IF(B68="","",TEXT(B68,"dddd"))</f>
        <v/>
      </c>
      <c r="D68" s="22" t="s">
        <v>100</v>
      </c>
      <c r="E68" s="22" t="s">
        <v>100</v>
      </c>
      <c r="F68" s="22" t="s">
        <v>100</v>
      </c>
      <c r="G68" s="24" t="s">
        <v>100</v>
      </c>
      <c r="H68" s="22" t="s">
        <v>100</v>
      </c>
      <c r="I68" s="22" t="s">
        <v>100</v>
      </c>
    </row>
    <row r="69" ht="20" customHeight="1" spans="1:9" s="21" customFormat="1" x14ac:dyDescent="0.25">
      <c r="A69" s="25">
        <v>66</v>
      </c>
      <c r="B69" s="25" t="s">
        <v>100</v>
      </c>
      <c r="C69" s="25" t="str">
        <f>IF(B69="","",TEXT(B69,"dddd"))</f>
        <v/>
      </c>
      <c r="D69" s="22" t="s">
        <v>100</v>
      </c>
      <c r="E69" s="22" t="s">
        <v>100</v>
      </c>
      <c r="F69" s="22" t="s">
        <v>100</v>
      </c>
      <c r="G69" s="24" t="s">
        <v>100</v>
      </c>
      <c r="H69" s="22" t="s">
        <v>100</v>
      </c>
      <c r="I69" s="22" t="s">
        <v>100</v>
      </c>
    </row>
    <row r="70" ht="20" customHeight="1" spans="1:9" s="21" customFormat="1" x14ac:dyDescent="0.25">
      <c r="A70" s="25">
        <v>67</v>
      </c>
      <c r="B70" s="25" t="s">
        <v>100</v>
      </c>
      <c r="C70" s="25" t="str">
        <f>IF(B70="","",TEXT(B70,"dddd"))</f>
        <v/>
      </c>
      <c r="D70" s="22" t="s">
        <v>100</v>
      </c>
      <c r="E70" s="22" t="s">
        <v>100</v>
      </c>
      <c r="F70" s="22" t="s">
        <v>100</v>
      </c>
      <c r="G70" s="24" t="s">
        <v>100</v>
      </c>
      <c r="H70" s="22" t="s">
        <v>100</v>
      </c>
      <c r="I70" s="22" t="s">
        <v>100</v>
      </c>
    </row>
    <row r="71" ht="20" customHeight="1" spans="1:9" s="21" customFormat="1" x14ac:dyDescent="0.25">
      <c r="A71" s="25">
        <v>68</v>
      </c>
      <c r="B71" s="25" t="s">
        <v>100</v>
      </c>
      <c r="C71" s="25" t="str">
        <f>IF(B71="","",TEXT(B71,"dddd"))</f>
        <v/>
      </c>
      <c r="D71" s="22" t="s">
        <v>100</v>
      </c>
      <c r="E71" s="22" t="s">
        <v>100</v>
      </c>
      <c r="F71" s="22" t="s">
        <v>100</v>
      </c>
      <c r="G71" s="24" t="s">
        <v>100</v>
      </c>
      <c r="H71" s="22" t="s">
        <v>100</v>
      </c>
      <c r="I71" s="22" t="s">
        <v>100</v>
      </c>
    </row>
    <row r="72" ht="20" customHeight="1" spans="1:9" s="21" customFormat="1" x14ac:dyDescent="0.25">
      <c r="A72" s="25">
        <v>69</v>
      </c>
      <c r="B72" s="25" t="s">
        <v>100</v>
      </c>
      <c r="C72" s="25" t="str">
        <f>IF(B72="","",TEXT(B72,"dddd"))</f>
        <v/>
      </c>
      <c r="D72" s="22" t="s">
        <v>100</v>
      </c>
      <c r="E72" s="22" t="s">
        <v>100</v>
      </c>
      <c r="F72" s="22" t="s">
        <v>100</v>
      </c>
      <c r="G72" s="24" t="s">
        <v>100</v>
      </c>
      <c r="H72" s="22" t="s">
        <v>100</v>
      </c>
      <c r="I72" s="22" t="s">
        <v>100</v>
      </c>
    </row>
    <row r="73" ht="20" customHeight="1" spans="1:9" s="21" customFormat="1" x14ac:dyDescent="0.25">
      <c r="A73" s="25">
        <v>70</v>
      </c>
      <c r="B73" s="25" t="s">
        <v>100</v>
      </c>
      <c r="C73" s="25" t="str">
        <f>IF(B73="","",TEXT(B73,"dddd"))</f>
        <v/>
      </c>
      <c r="D73" s="22" t="s">
        <v>100</v>
      </c>
      <c r="E73" s="22" t="s">
        <v>100</v>
      </c>
      <c r="F73" s="22" t="s">
        <v>100</v>
      </c>
      <c r="G73" s="24" t="s">
        <v>100</v>
      </c>
      <c r="H73" s="22" t="s">
        <v>100</v>
      </c>
      <c r="I73" s="22" t="s">
        <v>100</v>
      </c>
    </row>
    <row r="74" ht="20" customHeight="1" spans="1:9" s="21" customFormat="1" x14ac:dyDescent="0.25">
      <c r="A74" s="25">
        <v>71</v>
      </c>
      <c r="B74" s="25" t="s">
        <v>100</v>
      </c>
      <c r="C74" s="25" t="str">
        <f>IF(B74="","",TEXT(B74,"dddd"))</f>
        <v/>
      </c>
      <c r="D74" s="22" t="s">
        <v>100</v>
      </c>
      <c r="E74" s="22" t="s">
        <v>100</v>
      </c>
      <c r="F74" s="22" t="s">
        <v>100</v>
      </c>
      <c r="G74" s="24" t="s">
        <v>100</v>
      </c>
      <c r="H74" s="22" t="s">
        <v>100</v>
      </c>
      <c r="I74" s="22" t="s">
        <v>100</v>
      </c>
    </row>
    <row r="75" ht="20" customHeight="1" spans="1:9" s="21" customFormat="1" x14ac:dyDescent="0.25">
      <c r="A75" s="25">
        <v>72</v>
      </c>
      <c r="B75" s="25" t="s">
        <v>100</v>
      </c>
      <c r="C75" s="25" t="str">
        <f>IF(B75="","",TEXT(B75,"dddd"))</f>
        <v/>
      </c>
      <c r="D75" s="22" t="s">
        <v>100</v>
      </c>
      <c r="E75" s="22" t="s">
        <v>100</v>
      </c>
      <c r="F75" s="22" t="s">
        <v>100</v>
      </c>
      <c r="G75" s="24" t="s">
        <v>100</v>
      </c>
      <c r="H75" s="22" t="s">
        <v>100</v>
      </c>
      <c r="I75" s="22" t="s">
        <v>100</v>
      </c>
    </row>
    <row r="76" ht="20" customHeight="1" spans="1:9" s="21" customFormat="1" x14ac:dyDescent="0.25">
      <c r="A76" s="25">
        <v>73</v>
      </c>
      <c r="B76" s="25" t="s">
        <v>100</v>
      </c>
      <c r="C76" s="25" t="str">
        <f>IF(B76="","",TEXT(B76,"dddd"))</f>
        <v/>
      </c>
      <c r="D76" s="22" t="s">
        <v>100</v>
      </c>
      <c r="E76" s="22" t="s">
        <v>100</v>
      </c>
      <c r="F76" s="22" t="s">
        <v>100</v>
      </c>
      <c r="G76" s="24" t="s">
        <v>100</v>
      </c>
      <c r="H76" s="22" t="s">
        <v>100</v>
      </c>
      <c r="I76" s="22" t="s">
        <v>100</v>
      </c>
    </row>
    <row r="77" ht="20" customHeight="1" spans="1:9" s="21" customFormat="1" x14ac:dyDescent="0.25">
      <c r="A77" s="25">
        <v>74</v>
      </c>
      <c r="B77" s="25" t="s">
        <v>100</v>
      </c>
      <c r="C77" s="25" t="str">
        <f>IF(B77="","",TEXT(B77,"dddd"))</f>
        <v/>
      </c>
      <c r="D77" s="22" t="s">
        <v>100</v>
      </c>
      <c r="E77" s="22" t="s">
        <v>100</v>
      </c>
      <c r="F77" s="22" t="s">
        <v>100</v>
      </c>
      <c r="G77" s="24" t="s">
        <v>100</v>
      </c>
      <c r="H77" s="22" t="s">
        <v>100</v>
      </c>
      <c r="I77" s="22" t="s">
        <v>100</v>
      </c>
    </row>
    <row r="78" ht="20" customHeight="1" spans="1:9" s="21" customFormat="1" x14ac:dyDescent="0.25">
      <c r="A78" s="25">
        <v>75</v>
      </c>
      <c r="B78" s="25" t="s">
        <v>100</v>
      </c>
      <c r="C78" s="25" t="str">
        <f>IF(B78="","",TEXT(B78,"dddd"))</f>
        <v/>
      </c>
      <c r="D78" s="22" t="s">
        <v>100</v>
      </c>
      <c r="E78" s="22" t="s">
        <v>100</v>
      </c>
      <c r="F78" s="22" t="s">
        <v>100</v>
      </c>
      <c r="G78" s="24" t="s">
        <v>100</v>
      </c>
      <c r="H78" s="22" t="s">
        <v>100</v>
      </c>
      <c r="I78" s="22" t="s">
        <v>100</v>
      </c>
    </row>
    <row r="79" ht="20" customHeight="1" spans="1:9" s="21" customFormat="1" x14ac:dyDescent="0.25">
      <c r="A79" s="25">
        <v>76</v>
      </c>
      <c r="B79" s="25" t="s">
        <v>100</v>
      </c>
      <c r="C79" s="25" t="str">
        <f>IF(B79="","",TEXT(B79,"dddd"))</f>
        <v/>
      </c>
      <c r="D79" s="22" t="s">
        <v>100</v>
      </c>
      <c r="E79" s="22" t="s">
        <v>100</v>
      </c>
      <c r="F79" s="22" t="s">
        <v>100</v>
      </c>
      <c r="G79" s="24" t="s">
        <v>100</v>
      </c>
      <c r="H79" s="22" t="s">
        <v>100</v>
      </c>
      <c r="I79" s="22" t="s">
        <v>100</v>
      </c>
    </row>
    <row r="80" ht="20" customHeight="1" spans="1:9" s="21" customFormat="1" x14ac:dyDescent="0.25">
      <c r="A80" s="25">
        <v>77</v>
      </c>
      <c r="B80" s="25" t="s">
        <v>100</v>
      </c>
      <c r="C80" s="25" t="str">
        <f>IF(B80="","",TEXT(B80,"dddd"))</f>
        <v/>
      </c>
      <c r="D80" s="22" t="s">
        <v>100</v>
      </c>
      <c r="E80" s="22" t="s">
        <v>100</v>
      </c>
      <c r="F80" s="22" t="s">
        <v>100</v>
      </c>
      <c r="G80" s="24" t="s">
        <v>100</v>
      </c>
      <c r="H80" s="22" t="s">
        <v>100</v>
      </c>
      <c r="I80" s="22" t="s">
        <v>100</v>
      </c>
    </row>
    <row r="81" ht="20" customHeight="1" spans="1:9" s="21" customFormat="1" x14ac:dyDescent="0.25">
      <c r="A81" s="25">
        <v>78</v>
      </c>
      <c r="B81" s="25" t="s">
        <v>100</v>
      </c>
      <c r="C81" s="25" t="str">
        <f>IF(B81="","",TEXT(B81,"dddd"))</f>
        <v/>
      </c>
      <c r="D81" s="22" t="s">
        <v>100</v>
      </c>
      <c r="E81" s="22" t="s">
        <v>100</v>
      </c>
      <c r="F81" s="22" t="s">
        <v>100</v>
      </c>
      <c r="G81" s="24" t="s">
        <v>100</v>
      </c>
      <c r="H81" s="22" t="s">
        <v>100</v>
      </c>
      <c r="I81" s="22" t="s">
        <v>100</v>
      </c>
    </row>
    <row r="82" ht="20" customHeight="1" spans="1:9" s="21" customFormat="1" x14ac:dyDescent="0.25">
      <c r="A82" s="25">
        <v>79</v>
      </c>
      <c r="B82" s="25" t="s">
        <v>100</v>
      </c>
      <c r="C82" s="25" t="str">
        <f>IF(B82="","",TEXT(B82,"dddd"))</f>
        <v/>
      </c>
      <c r="D82" s="22" t="s">
        <v>100</v>
      </c>
      <c r="E82" s="22" t="s">
        <v>100</v>
      </c>
      <c r="F82" s="22" t="s">
        <v>100</v>
      </c>
      <c r="G82" s="24" t="s">
        <v>100</v>
      </c>
      <c r="H82" s="22" t="s">
        <v>100</v>
      </c>
      <c r="I82" s="22" t="s">
        <v>100</v>
      </c>
    </row>
    <row r="83" ht="20" customHeight="1" spans="1:9" s="21" customFormat="1" x14ac:dyDescent="0.25">
      <c r="A83" s="25">
        <v>80</v>
      </c>
      <c r="B83" s="25" t="s">
        <v>100</v>
      </c>
      <c r="C83" s="25" t="str">
        <f>IF(B83="","",TEXT(B83,"dddd"))</f>
        <v/>
      </c>
      <c r="D83" s="22" t="s">
        <v>100</v>
      </c>
      <c r="E83" s="22" t="s">
        <v>100</v>
      </c>
      <c r="F83" s="22" t="s">
        <v>100</v>
      </c>
      <c r="G83" s="24" t="s">
        <v>100</v>
      </c>
      <c r="H83" s="22" t="s">
        <v>100</v>
      </c>
      <c r="I83" s="22" t="s">
        <v>100</v>
      </c>
    </row>
    <row r="84" ht="20" customHeight="1" spans="1:9" s="21" customFormat="1" x14ac:dyDescent="0.25">
      <c r="A84" s="25">
        <v>81</v>
      </c>
      <c r="B84" s="25" t="s">
        <v>100</v>
      </c>
      <c r="C84" s="25" t="str">
        <f>IF(B84="","",TEXT(B84,"dddd"))</f>
        <v/>
      </c>
      <c r="D84" s="22" t="s">
        <v>100</v>
      </c>
      <c r="E84" s="22" t="s">
        <v>100</v>
      </c>
      <c r="F84" s="22" t="s">
        <v>100</v>
      </c>
      <c r="G84" s="24" t="s">
        <v>100</v>
      </c>
      <c r="H84" s="22" t="s">
        <v>100</v>
      </c>
      <c r="I84" s="22" t="s">
        <v>100</v>
      </c>
    </row>
    <row r="85" ht="20" customHeight="1" spans="1:9" s="21" customFormat="1" x14ac:dyDescent="0.25">
      <c r="A85" s="25">
        <v>82</v>
      </c>
      <c r="B85" s="25" t="s">
        <v>100</v>
      </c>
      <c r="C85" s="25" t="str">
        <f>IF(B85="","",TEXT(B85,"dddd"))</f>
        <v/>
      </c>
      <c r="D85" s="22" t="s">
        <v>100</v>
      </c>
      <c r="E85" s="22" t="s">
        <v>100</v>
      </c>
      <c r="F85" s="22" t="s">
        <v>100</v>
      </c>
      <c r="G85" s="24" t="s">
        <v>100</v>
      </c>
      <c r="H85" s="22" t="s">
        <v>100</v>
      </c>
      <c r="I85" s="22" t="s">
        <v>100</v>
      </c>
    </row>
    <row r="86" ht="20" customHeight="1" spans="1:9" s="21" customFormat="1" x14ac:dyDescent="0.25">
      <c r="A86" s="25">
        <v>83</v>
      </c>
      <c r="B86" s="25" t="s">
        <v>100</v>
      </c>
      <c r="C86" s="25" t="str">
        <f>IF(B86="","",TEXT(B86,"dddd"))</f>
        <v/>
      </c>
      <c r="D86" s="22" t="s">
        <v>100</v>
      </c>
      <c r="E86" s="22" t="s">
        <v>100</v>
      </c>
      <c r="F86" s="22" t="s">
        <v>100</v>
      </c>
      <c r="G86" s="24" t="s">
        <v>100</v>
      </c>
      <c r="H86" s="22" t="s">
        <v>100</v>
      </c>
      <c r="I86" s="22" t="s">
        <v>100</v>
      </c>
    </row>
    <row r="87" ht="20" customHeight="1" spans="1:9" s="21" customFormat="1" x14ac:dyDescent="0.25">
      <c r="A87" s="25">
        <v>84</v>
      </c>
      <c r="B87" s="25" t="s">
        <v>100</v>
      </c>
      <c r="C87" s="25" t="str">
        <f>IF(B87="","",TEXT(B87,"dddd"))</f>
        <v/>
      </c>
      <c r="D87" s="22" t="s">
        <v>100</v>
      </c>
      <c r="E87" s="22" t="s">
        <v>100</v>
      </c>
      <c r="F87" s="22" t="s">
        <v>100</v>
      </c>
      <c r="G87" s="24" t="s">
        <v>100</v>
      </c>
      <c r="H87" s="22" t="s">
        <v>100</v>
      </c>
      <c r="I87" s="22" t="s">
        <v>100</v>
      </c>
    </row>
    <row r="88" ht="20" customHeight="1" spans="1:9" s="21" customFormat="1" x14ac:dyDescent="0.25">
      <c r="A88" s="25">
        <v>85</v>
      </c>
      <c r="B88" s="25" t="s">
        <v>100</v>
      </c>
      <c r="C88" s="25" t="str">
        <f>IF(B88="","",TEXT(B88,"dddd"))</f>
        <v/>
      </c>
      <c r="D88" s="22" t="s">
        <v>100</v>
      </c>
      <c r="E88" s="22" t="s">
        <v>100</v>
      </c>
      <c r="F88" s="22" t="s">
        <v>100</v>
      </c>
      <c r="G88" s="24" t="s">
        <v>100</v>
      </c>
      <c r="H88" s="22" t="s">
        <v>100</v>
      </c>
      <c r="I88" s="22" t="s">
        <v>100</v>
      </c>
    </row>
    <row r="89" ht="20" customHeight="1" spans="1:9" s="21" customFormat="1" x14ac:dyDescent="0.25">
      <c r="A89" s="25">
        <v>86</v>
      </c>
      <c r="B89" s="25" t="s">
        <v>100</v>
      </c>
      <c r="C89" s="25" t="str">
        <f>IF(B89="","",TEXT(B89,"dddd"))</f>
        <v/>
      </c>
      <c r="D89" s="22" t="s">
        <v>100</v>
      </c>
      <c r="E89" s="22" t="s">
        <v>100</v>
      </c>
      <c r="F89" s="22" t="s">
        <v>100</v>
      </c>
      <c r="G89" s="24" t="s">
        <v>100</v>
      </c>
      <c r="H89" s="22" t="s">
        <v>100</v>
      </c>
      <c r="I89" s="22" t="s">
        <v>100</v>
      </c>
    </row>
    <row r="90" ht="20" customHeight="1" spans="1:9" s="21" customFormat="1" x14ac:dyDescent="0.25">
      <c r="A90" s="25">
        <v>87</v>
      </c>
      <c r="B90" s="25" t="s">
        <v>100</v>
      </c>
      <c r="C90" s="25" t="str">
        <f>IF(B90="","",TEXT(B90,"dddd"))</f>
        <v/>
      </c>
      <c r="D90" s="22" t="s">
        <v>100</v>
      </c>
      <c r="E90" s="22" t="s">
        <v>100</v>
      </c>
      <c r="F90" s="22" t="s">
        <v>100</v>
      </c>
      <c r="G90" s="24" t="s">
        <v>100</v>
      </c>
      <c r="H90" s="22" t="s">
        <v>100</v>
      </c>
      <c r="I90" s="22" t="s">
        <v>100</v>
      </c>
    </row>
    <row r="91" ht="20" customHeight="1" spans="1:9" s="21" customFormat="1" x14ac:dyDescent="0.25">
      <c r="A91" s="25">
        <v>88</v>
      </c>
      <c r="B91" s="25" t="s">
        <v>100</v>
      </c>
      <c r="C91" s="25" t="str">
        <f>IF(B91="","",TEXT(B91,"dddd"))</f>
        <v/>
      </c>
      <c r="D91" s="22" t="s">
        <v>100</v>
      </c>
      <c r="E91" s="22" t="s">
        <v>100</v>
      </c>
      <c r="F91" s="22" t="s">
        <v>100</v>
      </c>
      <c r="G91" s="24" t="s">
        <v>100</v>
      </c>
      <c r="H91" s="22" t="s">
        <v>100</v>
      </c>
      <c r="I91" s="22" t="s">
        <v>100</v>
      </c>
    </row>
    <row r="92" ht="20" customHeight="1" spans="1:9" s="21" customFormat="1" x14ac:dyDescent="0.25">
      <c r="A92" s="25">
        <v>89</v>
      </c>
      <c r="B92" s="25" t="s">
        <v>100</v>
      </c>
      <c r="C92" s="25" t="str">
        <f>IF(B92="","",TEXT(B92,"dddd"))</f>
        <v/>
      </c>
      <c r="D92" s="22" t="s">
        <v>100</v>
      </c>
      <c r="E92" s="22" t="s">
        <v>100</v>
      </c>
      <c r="F92" s="22" t="s">
        <v>100</v>
      </c>
      <c r="G92" s="24" t="s">
        <v>100</v>
      </c>
      <c r="H92" s="22" t="s">
        <v>100</v>
      </c>
      <c r="I92" s="22" t="s">
        <v>100</v>
      </c>
    </row>
    <row r="93" ht="20" customHeight="1" spans="1:9" s="21" customFormat="1" x14ac:dyDescent="0.25">
      <c r="A93" s="25">
        <v>90</v>
      </c>
      <c r="B93" s="25" t="s">
        <v>100</v>
      </c>
      <c r="C93" s="25" t="str">
        <f>IF(B93="","",TEXT(B93,"dddd"))</f>
        <v/>
      </c>
      <c r="D93" s="22" t="s">
        <v>100</v>
      </c>
      <c r="E93" s="22" t="s">
        <v>100</v>
      </c>
      <c r="F93" s="22" t="s">
        <v>100</v>
      </c>
      <c r="G93" s="24" t="s">
        <v>100</v>
      </c>
      <c r="H93" s="22" t="s">
        <v>100</v>
      </c>
      <c r="I93" s="22" t="s">
        <v>100</v>
      </c>
    </row>
    <row r="94" ht="20" customHeight="1" spans="1:9" s="21" customFormat="1" x14ac:dyDescent="0.25">
      <c r="A94" s="25">
        <v>91</v>
      </c>
      <c r="B94" s="25" t="s">
        <v>100</v>
      </c>
      <c r="C94" s="25" t="str">
        <f>IF(B94="","",TEXT(B94,"dddd"))</f>
        <v/>
      </c>
      <c r="D94" s="22" t="s">
        <v>100</v>
      </c>
      <c r="E94" s="22" t="s">
        <v>100</v>
      </c>
      <c r="F94" s="22" t="s">
        <v>100</v>
      </c>
      <c r="G94" s="24" t="s">
        <v>100</v>
      </c>
      <c r="H94" s="22" t="s">
        <v>100</v>
      </c>
      <c r="I94" s="22" t="s">
        <v>100</v>
      </c>
    </row>
    <row r="95" ht="20" customHeight="1" spans="1:9" s="21" customFormat="1" x14ac:dyDescent="0.25">
      <c r="A95" s="25">
        <v>92</v>
      </c>
      <c r="B95" s="25" t="s">
        <v>100</v>
      </c>
      <c r="C95" s="25" t="str">
        <f>IF(B95="","",TEXT(B95,"dddd"))</f>
        <v/>
      </c>
      <c r="D95" s="22" t="s">
        <v>100</v>
      </c>
      <c r="E95" s="22" t="s">
        <v>100</v>
      </c>
      <c r="F95" s="22" t="s">
        <v>100</v>
      </c>
      <c r="G95" s="24" t="s">
        <v>100</v>
      </c>
      <c r="H95" s="22" t="s">
        <v>100</v>
      </c>
      <c r="I95" s="22" t="s">
        <v>100</v>
      </c>
    </row>
    <row r="96" ht="20" customHeight="1" spans="1:9" s="21" customFormat="1" x14ac:dyDescent="0.25">
      <c r="A96" s="25">
        <v>93</v>
      </c>
      <c r="B96" s="25" t="s">
        <v>100</v>
      </c>
      <c r="C96" s="25" t="str">
        <f>IF(B96="","",TEXT(B96,"dddd"))</f>
        <v/>
      </c>
      <c r="D96" s="22" t="s">
        <v>100</v>
      </c>
      <c r="E96" s="22" t="s">
        <v>100</v>
      </c>
      <c r="F96" s="22" t="s">
        <v>100</v>
      </c>
      <c r="G96" s="24" t="s">
        <v>100</v>
      </c>
      <c r="H96" s="22" t="s">
        <v>100</v>
      </c>
      <c r="I96" s="22" t="s">
        <v>100</v>
      </c>
    </row>
    <row r="97" ht="20" customHeight="1" spans="1:9" s="21" customFormat="1" x14ac:dyDescent="0.25">
      <c r="A97" s="25">
        <v>94</v>
      </c>
      <c r="B97" s="25" t="s">
        <v>100</v>
      </c>
      <c r="C97" s="25" t="str">
        <f>IF(B97="","",TEXT(B97,"dddd"))</f>
        <v/>
      </c>
      <c r="D97" s="22" t="s">
        <v>100</v>
      </c>
      <c r="E97" s="22" t="s">
        <v>100</v>
      </c>
      <c r="F97" s="22" t="s">
        <v>100</v>
      </c>
      <c r="G97" s="24" t="s">
        <v>100</v>
      </c>
      <c r="H97" s="22" t="s">
        <v>100</v>
      </c>
      <c r="I97" s="22" t="s">
        <v>100</v>
      </c>
    </row>
    <row r="98" ht="20" customHeight="1" spans="1:9" s="21" customFormat="1" x14ac:dyDescent="0.25">
      <c r="A98" s="25">
        <v>95</v>
      </c>
      <c r="B98" s="25" t="s">
        <v>100</v>
      </c>
      <c r="C98" s="25" t="str">
        <f>IF(B98="","",TEXT(B98,"dddd"))</f>
        <v/>
      </c>
      <c r="D98" s="22" t="s">
        <v>100</v>
      </c>
      <c r="E98" s="22" t="s">
        <v>100</v>
      </c>
      <c r="F98" s="22" t="s">
        <v>100</v>
      </c>
      <c r="G98" s="24" t="s">
        <v>100</v>
      </c>
      <c r="H98" s="22" t="s">
        <v>100</v>
      </c>
      <c r="I98" s="22" t="s">
        <v>100</v>
      </c>
    </row>
    <row r="99" ht="20" customHeight="1" spans="1:9" s="21" customFormat="1" x14ac:dyDescent="0.25">
      <c r="A99" s="25">
        <v>96</v>
      </c>
      <c r="B99" s="25" t="s">
        <v>100</v>
      </c>
      <c r="C99" s="25" t="str">
        <f>IF(B99="","",TEXT(B99,"dddd"))</f>
        <v/>
      </c>
      <c r="D99" s="22" t="s">
        <v>100</v>
      </c>
      <c r="E99" s="22" t="s">
        <v>100</v>
      </c>
      <c r="F99" s="22" t="s">
        <v>100</v>
      </c>
      <c r="G99" s="24" t="s">
        <v>100</v>
      </c>
      <c r="H99" s="22" t="s">
        <v>100</v>
      </c>
      <c r="I99" s="22" t="s">
        <v>100</v>
      </c>
    </row>
    <row r="100" ht="20" customHeight="1" spans="1:9" s="21" customFormat="1" x14ac:dyDescent="0.25">
      <c r="A100" s="25">
        <v>97</v>
      </c>
      <c r="B100" s="25" t="s">
        <v>100</v>
      </c>
      <c r="C100" s="25" t="str">
        <f>IF(B100="","",TEXT(B100,"dddd"))</f>
        <v/>
      </c>
      <c r="D100" s="22" t="s">
        <v>100</v>
      </c>
      <c r="E100" s="22" t="s">
        <v>100</v>
      </c>
      <c r="F100" s="22" t="s">
        <v>100</v>
      </c>
      <c r="G100" s="24" t="s">
        <v>100</v>
      </c>
      <c r="H100" s="22" t="s">
        <v>100</v>
      </c>
      <c r="I100" s="22" t="s">
        <v>100</v>
      </c>
    </row>
    <row r="101" ht="20" customHeight="1" spans="1:9" s="21" customFormat="1" x14ac:dyDescent="0.25">
      <c r="A101" s="25">
        <v>98</v>
      </c>
      <c r="B101" s="25" t="s">
        <v>100</v>
      </c>
      <c r="C101" s="25" t="str">
        <f>IF(B101="","",TEXT(B101,"dddd"))</f>
        <v/>
      </c>
      <c r="D101" s="22" t="s">
        <v>100</v>
      </c>
      <c r="E101" s="22" t="s">
        <v>100</v>
      </c>
      <c r="F101" s="22" t="s">
        <v>100</v>
      </c>
      <c r="G101" s="24" t="s">
        <v>100</v>
      </c>
      <c r="H101" s="22" t="s">
        <v>100</v>
      </c>
      <c r="I101" s="22" t="s">
        <v>100</v>
      </c>
    </row>
    <row r="102" ht="20" customHeight="1" spans="1:9" s="21" customFormat="1" x14ac:dyDescent="0.25">
      <c r="A102" s="25">
        <v>99</v>
      </c>
      <c r="B102" s="25" t="s">
        <v>100</v>
      </c>
      <c r="C102" s="25" t="str">
        <f>IF(B102="","",TEXT(B102,"dddd"))</f>
        <v/>
      </c>
      <c r="D102" s="22" t="s">
        <v>100</v>
      </c>
      <c r="E102" s="22" t="s">
        <v>100</v>
      </c>
      <c r="F102" s="22" t="s">
        <v>100</v>
      </c>
      <c r="G102" s="24" t="s">
        <v>100</v>
      </c>
      <c r="H102" s="22" t="s">
        <v>100</v>
      </c>
      <c r="I102" s="22" t="s">
        <v>100</v>
      </c>
    </row>
    <row r="103" ht="20" customHeight="1" spans="1:9" s="21" customFormat="1" x14ac:dyDescent="0.25">
      <c r="A103" s="25">
        <v>100</v>
      </c>
      <c r="B103" s="25" t="s">
        <v>100</v>
      </c>
      <c r="C103" s="25" t="str">
        <f>IF(B103="","",TEXT(B103,"dddd"))</f>
        <v/>
      </c>
      <c r="D103" s="22" t="s">
        <v>100</v>
      </c>
      <c r="E103" s="22" t="s">
        <v>100</v>
      </c>
      <c r="F103" s="22" t="s">
        <v>100</v>
      </c>
      <c r="G103" s="24" t="s">
        <v>100</v>
      </c>
      <c r="H103" s="22" t="s">
        <v>100</v>
      </c>
      <c r="I103" s="22" t="s">
        <v>100</v>
      </c>
    </row>
    <row r="104" ht="20" customHeight="1" spans="1:9" s="21" customFormat="1" x14ac:dyDescent="0.25">
      <c r="A104" s="25">
        <v>101</v>
      </c>
      <c r="B104" s="25" t="s">
        <v>100</v>
      </c>
      <c r="C104" s="25" t="str">
        <f>IF(B104="","",TEXT(B104,"dddd"))</f>
        <v/>
      </c>
      <c r="D104" s="22" t="s">
        <v>100</v>
      </c>
      <c r="E104" s="22" t="s">
        <v>100</v>
      </c>
      <c r="F104" s="22" t="s">
        <v>100</v>
      </c>
      <c r="G104" s="24" t="s">
        <v>100</v>
      </c>
      <c r="H104" s="22" t="s">
        <v>100</v>
      </c>
      <c r="I104" s="22" t="s">
        <v>100</v>
      </c>
    </row>
    <row r="105" ht="20" customHeight="1" spans="1:9" s="21" customFormat="1" x14ac:dyDescent="0.25">
      <c r="A105" s="25">
        <v>102</v>
      </c>
      <c r="B105" s="25" t="s">
        <v>100</v>
      </c>
      <c r="C105" s="25" t="str">
        <f>IF(B105="","",TEXT(B105,"dddd"))</f>
        <v/>
      </c>
      <c r="D105" s="22" t="s">
        <v>100</v>
      </c>
      <c r="E105" s="22" t="s">
        <v>100</v>
      </c>
      <c r="F105" s="22" t="s">
        <v>100</v>
      </c>
      <c r="G105" s="24" t="s">
        <v>100</v>
      </c>
      <c r="H105" s="22" t="s">
        <v>100</v>
      </c>
      <c r="I105" s="22" t="s">
        <v>100</v>
      </c>
    </row>
    <row r="106" ht="20" customHeight="1" spans="1:9" s="21" customFormat="1" x14ac:dyDescent="0.25">
      <c r="A106" s="25">
        <v>103</v>
      </c>
      <c r="B106" s="25" t="s">
        <v>100</v>
      </c>
      <c r="C106" s="25" t="str">
        <f>IF(B106="","",TEXT(B106,"dddd"))</f>
        <v/>
      </c>
      <c r="D106" s="22" t="s">
        <v>100</v>
      </c>
      <c r="E106" s="22" t="s">
        <v>100</v>
      </c>
      <c r="F106" s="22" t="s">
        <v>100</v>
      </c>
      <c r="G106" s="24" t="s">
        <v>100</v>
      </c>
      <c r="H106" s="22" t="s">
        <v>100</v>
      </c>
      <c r="I106" s="22" t="s">
        <v>100</v>
      </c>
    </row>
    <row r="107" ht="20" customHeight="1" spans="1:9" s="21" customFormat="1" x14ac:dyDescent="0.25">
      <c r="A107" s="25">
        <v>104</v>
      </c>
      <c r="B107" s="25" t="s">
        <v>100</v>
      </c>
      <c r="C107" s="25" t="str">
        <f>IF(B107="","",TEXT(B107,"dddd"))</f>
        <v/>
      </c>
      <c r="D107" s="22" t="s">
        <v>100</v>
      </c>
      <c r="E107" s="22" t="s">
        <v>100</v>
      </c>
      <c r="F107" s="22" t="s">
        <v>100</v>
      </c>
      <c r="G107" s="24" t="s">
        <v>100</v>
      </c>
      <c r="H107" s="22" t="s">
        <v>100</v>
      </c>
      <c r="I107" s="22" t="s">
        <v>100</v>
      </c>
    </row>
    <row r="108" ht="20" customHeight="1" spans="1:9" s="21" customFormat="1" x14ac:dyDescent="0.25">
      <c r="A108" s="25">
        <v>105</v>
      </c>
      <c r="B108" s="25" t="s">
        <v>100</v>
      </c>
      <c r="C108" s="25" t="str">
        <f>IF(B108="","",TEXT(B108,"dddd"))</f>
        <v/>
      </c>
      <c r="D108" s="22" t="s">
        <v>100</v>
      </c>
      <c r="E108" s="22" t="s">
        <v>100</v>
      </c>
      <c r="F108" s="22" t="s">
        <v>100</v>
      </c>
      <c r="G108" s="24" t="s">
        <v>100</v>
      </c>
      <c r="H108" s="22" t="s">
        <v>100</v>
      </c>
      <c r="I108" s="22" t="s">
        <v>100</v>
      </c>
    </row>
    <row r="109" ht="20" customHeight="1" spans="1:9" s="21" customFormat="1" x14ac:dyDescent="0.25">
      <c r="A109" s="25">
        <v>106</v>
      </c>
      <c r="B109" s="25" t="s">
        <v>100</v>
      </c>
      <c r="C109" s="25" t="str">
        <f>IF(B109="","",TEXT(B109,"dddd"))</f>
        <v/>
      </c>
      <c r="D109" s="22" t="s">
        <v>100</v>
      </c>
      <c r="E109" s="22" t="s">
        <v>100</v>
      </c>
      <c r="F109" s="22" t="s">
        <v>100</v>
      </c>
      <c r="G109" s="24" t="s">
        <v>100</v>
      </c>
      <c r="H109" s="22" t="s">
        <v>100</v>
      </c>
      <c r="I109" s="22" t="s">
        <v>100</v>
      </c>
    </row>
    <row r="110" ht="20" customHeight="1" spans="1:9" s="21" customFormat="1" x14ac:dyDescent="0.25">
      <c r="A110" s="25">
        <v>107</v>
      </c>
      <c r="B110" s="25" t="s">
        <v>100</v>
      </c>
      <c r="C110" s="25" t="str">
        <f>IF(B110="","",TEXT(B110,"dddd"))</f>
        <v/>
      </c>
      <c r="D110" s="22" t="s">
        <v>100</v>
      </c>
      <c r="E110" s="22" t="s">
        <v>100</v>
      </c>
      <c r="F110" s="22" t="s">
        <v>100</v>
      </c>
      <c r="G110" s="24" t="s">
        <v>100</v>
      </c>
      <c r="H110" s="22" t="s">
        <v>100</v>
      </c>
      <c r="I110" s="22" t="s">
        <v>100</v>
      </c>
    </row>
    <row r="111" ht="20" customHeight="1" spans="1:9" s="21" customFormat="1" x14ac:dyDescent="0.25">
      <c r="A111" s="25">
        <v>108</v>
      </c>
      <c r="B111" s="25" t="s">
        <v>100</v>
      </c>
      <c r="C111" s="25" t="str">
        <f>IF(B111="","",TEXT(B111,"dddd"))</f>
        <v/>
      </c>
      <c r="D111" s="22" t="s">
        <v>100</v>
      </c>
      <c r="E111" s="22" t="s">
        <v>100</v>
      </c>
      <c r="F111" s="22" t="s">
        <v>100</v>
      </c>
      <c r="G111" s="24" t="s">
        <v>100</v>
      </c>
      <c r="H111" s="22" t="s">
        <v>100</v>
      </c>
      <c r="I111" s="22" t="s">
        <v>100</v>
      </c>
    </row>
    <row r="112" ht="20" customHeight="1" spans="1:9" s="21" customFormat="1" x14ac:dyDescent="0.25">
      <c r="A112" s="25">
        <v>109</v>
      </c>
      <c r="B112" s="25" t="s">
        <v>100</v>
      </c>
      <c r="C112" s="25" t="str">
        <f>IF(B112="","",TEXT(B112,"dddd"))</f>
        <v/>
      </c>
      <c r="D112" s="22" t="s">
        <v>100</v>
      </c>
      <c r="E112" s="22" t="s">
        <v>100</v>
      </c>
      <c r="F112" s="22" t="s">
        <v>100</v>
      </c>
      <c r="G112" s="24" t="s">
        <v>100</v>
      </c>
      <c r="H112" s="22" t="s">
        <v>100</v>
      </c>
      <c r="I112" s="22" t="s">
        <v>100</v>
      </c>
    </row>
    <row r="113" ht="20" customHeight="1" spans="1:9" s="21" customFormat="1" x14ac:dyDescent="0.25">
      <c r="A113" s="25">
        <v>110</v>
      </c>
      <c r="B113" s="25" t="s">
        <v>100</v>
      </c>
      <c r="C113" s="25" t="str">
        <f>IF(B113="","",TEXT(B113,"dddd"))</f>
        <v/>
      </c>
      <c r="D113" s="22" t="s">
        <v>100</v>
      </c>
      <c r="E113" s="22" t="s">
        <v>100</v>
      </c>
      <c r="F113" s="22" t="s">
        <v>100</v>
      </c>
      <c r="G113" s="24" t="s">
        <v>100</v>
      </c>
      <c r="H113" s="22" t="s">
        <v>100</v>
      </c>
      <c r="I113" s="22" t="s">
        <v>100</v>
      </c>
    </row>
    <row r="114" ht="20" customHeight="1" spans="1:9" s="21" customFormat="1" x14ac:dyDescent="0.25">
      <c r="A114" s="25">
        <v>111</v>
      </c>
      <c r="B114" s="25" t="s">
        <v>100</v>
      </c>
      <c r="C114" s="25" t="str">
        <f>IF(B114="","",TEXT(B114,"dddd"))</f>
        <v/>
      </c>
      <c r="D114" s="22" t="s">
        <v>100</v>
      </c>
      <c r="E114" s="22" t="s">
        <v>100</v>
      </c>
      <c r="F114" s="22" t="s">
        <v>100</v>
      </c>
      <c r="G114" s="24" t="s">
        <v>100</v>
      </c>
      <c r="H114" s="22" t="s">
        <v>100</v>
      </c>
      <c r="I114" s="22" t="s">
        <v>100</v>
      </c>
    </row>
    <row r="115" ht="20" customHeight="1" spans="1:9" s="21" customFormat="1" x14ac:dyDescent="0.25">
      <c r="A115" s="25">
        <v>112</v>
      </c>
      <c r="B115" s="25" t="s">
        <v>100</v>
      </c>
      <c r="C115" s="25" t="str">
        <f>IF(B115="","",TEXT(B115,"dddd"))</f>
        <v/>
      </c>
      <c r="D115" s="22" t="s">
        <v>100</v>
      </c>
      <c r="E115" s="22" t="s">
        <v>100</v>
      </c>
      <c r="F115" s="22" t="s">
        <v>100</v>
      </c>
      <c r="G115" s="24" t="s">
        <v>100</v>
      </c>
      <c r="H115" s="22" t="s">
        <v>100</v>
      </c>
      <c r="I115" s="22" t="s">
        <v>100</v>
      </c>
    </row>
    <row r="116" ht="20" customHeight="1" spans="1:9" s="21" customFormat="1" x14ac:dyDescent="0.25">
      <c r="A116" s="25">
        <v>113</v>
      </c>
      <c r="B116" s="25" t="s">
        <v>100</v>
      </c>
      <c r="C116" s="25" t="str">
        <f>IF(B116="","",TEXT(B116,"dddd"))</f>
        <v/>
      </c>
      <c r="D116" s="22" t="s">
        <v>100</v>
      </c>
      <c r="E116" s="22" t="s">
        <v>100</v>
      </c>
      <c r="F116" s="22" t="s">
        <v>100</v>
      </c>
      <c r="G116" s="24" t="s">
        <v>100</v>
      </c>
      <c r="H116" s="22" t="s">
        <v>100</v>
      </c>
      <c r="I116" s="22" t="s">
        <v>100</v>
      </c>
    </row>
    <row r="117" ht="20" customHeight="1" spans="1:9" s="21" customFormat="1" x14ac:dyDescent="0.25">
      <c r="A117" s="25">
        <v>114</v>
      </c>
      <c r="B117" s="25" t="s">
        <v>100</v>
      </c>
      <c r="C117" s="25" t="str">
        <f>IF(B117="","",TEXT(B117,"dddd"))</f>
        <v/>
      </c>
      <c r="D117" s="22" t="s">
        <v>100</v>
      </c>
      <c r="E117" s="22" t="s">
        <v>100</v>
      </c>
      <c r="F117" s="22" t="s">
        <v>100</v>
      </c>
      <c r="G117" s="24" t="s">
        <v>100</v>
      </c>
      <c r="H117" s="22" t="s">
        <v>100</v>
      </c>
      <c r="I117" s="22" t="s">
        <v>100</v>
      </c>
    </row>
    <row r="118" ht="20" customHeight="1" spans="1:9" s="21" customFormat="1" x14ac:dyDescent="0.25">
      <c r="A118" s="25">
        <v>115</v>
      </c>
      <c r="B118" s="25" t="s">
        <v>100</v>
      </c>
      <c r="C118" s="25" t="str">
        <f>IF(B118="","",TEXT(B118,"dddd"))</f>
        <v/>
      </c>
      <c r="D118" s="22" t="s">
        <v>100</v>
      </c>
      <c r="E118" s="22" t="s">
        <v>100</v>
      </c>
      <c r="F118" s="22" t="s">
        <v>100</v>
      </c>
      <c r="G118" s="24" t="s">
        <v>100</v>
      </c>
      <c r="H118" s="22" t="s">
        <v>100</v>
      </c>
      <c r="I118" s="22" t="s">
        <v>100</v>
      </c>
    </row>
    <row r="119" ht="20" customHeight="1" spans="1:9" s="21" customFormat="1" x14ac:dyDescent="0.25">
      <c r="A119" s="25">
        <v>116</v>
      </c>
      <c r="B119" s="25" t="s">
        <v>100</v>
      </c>
      <c r="C119" s="25" t="str">
        <f>IF(B119="","",TEXT(B119,"dddd"))</f>
        <v/>
      </c>
      <c r="D119" s="22" t="s">
        <v>100</v>
      </c>
      <c r="E119" s="22" t="s">
        <v>100</v>
      </c>
      <c r="F119" s="22" t="s">
        <v>100</v>
      </c>
      <c r="G119" s="24" t="s">
        <v>100</v>
      </c>
      <c r="H119" s="22" t="s">
        <v>100</v>
      </c>
      <c r="I119" s="22" t="s">
        <v>100</v>
      </c>
    </row>
    <row r="120" ht="20" customHeight="1" spans="1:9" s="21" customFormat="1" x14ac:dyDescent="0.25">
      <c r="A120" s="25">
        <v>117</v>
      </c>
      <c r="B120" s="25" t="s">
        <v>100</v>
      </c>
      <c r="C120" s="25" t="str">
        <f>IF(B120="","",TEXT(B120,"dddd"))</f>
        <v/>
      </c>
      <c r="D120" s="22" t="s">
        <v>100</v>
      </c>
      <c r="E120" s="22" t="s">
        <v>100</v>
      </c>
      <c r="F120" s="22" t="s">
        <v>100</v>
      </c>
      <c r="G120" s="24" t="s">
        <v>100</v>
      </c>
      <c r="H120" s="22" t="s">
        <v>100</v>
      </c>
      <c r="I120" s="22" t="s">
        <v>100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14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5" width="22" customWidth="1"/>
    <col min="6" max="6" width="14" customWidth="1"/>
    <col min="7" max="7" width="26" customWidth="1"/>
  </cols>
  <sheetData>
    <row r="1" ht="28" customHeight="1" spans="1:7" x14ac:dyDescent="0.25">
      <c r="A1" s="35" t="s">
        <v>101</v>
      </c>
      <c r="B1" s="35"/>
      <c r="C1" s="35"/>
      <c r="D1" s="35"/>
      <c r="E1" s="35"/>
      <c r="F1" s="35"/>
      <c r="G1" s="35"/>
    </row>
    <row r="2" ht="18" customHeight="1" spans="1:7" x14ac:dyDescent="0.25">
      <c r="A2" s="2" t="s">
        <v>102</v>
      </c>
      <c r="B2" s="2"/>
      <c r="C2" s="2"/>
      <c r="D2" s="2"/>
      <c r="E2" s="2"/>
      <c r="F2" s="2"/>
      <c r="G2" s="2"/>
    </row>
    <row r="3" ht="24" customHeight="1" spans="1:7" x14ac:dyDescent="0.25">
      <c r="A3" s="19" t="s">
        <v>52</v>
      </c>
      <c r="B3" s="19" t="s">
        <v>103</v>
      </c>
      <c r="C3" s="20" t="s">
        <v>104</v>
      </c>
      <c r="D3" s="20" t="s">
        <v>105</v>
      </c>
      <c r="E3" s="20" t="s">
        <v>33</v>
      </c>
      <c r="F3" s="20" t="s">
        <v>17</v>
      </c>
      <c r="G3" s="20" t="s">
        <v>106</v>
      </c>
    </row>
    <row r="4" ht="21" customHeight="1" spans="1:7" s="21" customFormat="1" x14ac:dyDescent="0.25">
      <c r="A4" s="25">
        <v>1</v>
      </c>
      <c r="B4" s="22" t="s">
        <v>35</v>
      </c>
      <c r="C4" s="24">
        <v>750000</v>
      </c>
      <c r="D4" s="24">
        <f>SUMIFS(Transaksi!G$4:G$200, Transaksi!E$4:E$200, B4, Transaksi!D$4:D$200, "Pengeluaran")</f>
        <v>145000</v>
      </c>
      <c r="E4" s="24">
        <f>C4-D4</f>
        <v>605000</v>
      </c>
      <c r="F4" s="23">
        <f>IF(C4=0,0,D4/C4)</f>
        <v>0.1933</v>
      </c>
      <c r="G4" s="25" t="str">
        <f>IF(D4&gt;C4, "🔴 OVERBUDGET", IF(F4&gt;0.8, "🟡 HAMPIR HABIS", "🟢 AMAN"))</f>
        <v>🟢 AMAN</v>
      </c>
    </row>
    <row r="5" ht="21" customHeight="1" spans="1:7" s="21" customFormat="1" x14ac:dyDescent="0.25">
      <c r="A5" s="29">
        <v>2</v>
      </c>
      <c r="B5" s="26" t="s">
        <v>37</v>
      </c>
      <c r="C5" s="28">
        <v>850000</v>
      </c>
      <c r="D5" s="28">
        <f>SUMIFS(Transaksi!G$4:G$200, Transaksi!E$4:E$200, B5, Transaksi!D$4:D$200, "Pengeluaran")</f>
        <v>860000</v>
      </c>
      <c r="E5" s="28">
        <f>C5-D5</f>
        <v>-10000</v>
      </c>
      <c r="F5" s="27">
        <f>IF(C5=0,0,D5/C5)</f>
        <v>1.0117</v>
      </c>
      <c r="G5" s="29" t="str">
        <f>IF(D5&gt;C5, "🔴 OVERBUDGET", IF(F5&gt;0.8, "🟡 HAMPIR HABIS", "🟢 AMAN"))</f>
        <v>🔴 OVERBUDGET</v>
      </c>
    </row>
    <row r="6" ht="21" customHeight="1" spans="1:7" s="21" customFormat="1" x14ac:dyDescent="0.25">
      <c r="A6" s="25">
        <v>3</v>
      </c>
      <c r="B6" s="22" t="s">
        <v>38</v>
      </c>
      <c r="C6" s="24">
        <v>200000</v>
      </c>
      <c r="D6" s="24">
        <f>SUMIFS(Transaksi!G$4:G$200, Transaksi!E$4:E$200, B6, Transaksi!D$4:D$200, "Pengeluaran")</f>
        <v>80000</v>
      </c>
      <c r="E6" s="24">
        <f>C6-D6</f>
        <v>120000</v>
      </c>
      <c r="F6" s="23">
        <f>IF(C6=0,0,D6/C6)</f>
        <v>0.4</v>
      </c>
      <c r="G6" s="25" t="str">
        <f>IF(D6&gt;C6, "🔴 OVERBUDGET", IF(F6&gt;0.8, "🟡 HAMPIR HABIS", "🟢 AMAN"))</f>
        <v>🟢 AMAN</v>
      </c>
    </row>
    <row r="7" ht="21" customHeight="1" spans="1:7" s="21" customFormat="1" x14ac:dyDescent="0.25">
      <c r="A7" s="29">
        <v>4</v>
      </c>
      <c r="B7" s="26" t="s">
        <v>39</v>
      </c>
      <c r="C7" s="28">
        <v>150000</v>
      </c>
      <c r="D7" s="28">
        <f>SUMIFS(Transaksi!G$4:G$200, Transaksi!E$4:E$200, B7, Transaksi!D$4:D$200, "Pengeluaran")</f>
        <v>75000</v>
      </c>
      <c r="E7" s="28">
        <f>C7-D7</f>
        <v>75000</v>
      </c>
      <c r="F7" s="27">
        <f>IF(C7=0,0,D7/C7)</f>
        <v>0.5</v>
      </c>
      <c r="G7" s="29" t="str">
        <f>IF(D7&gt;C7, "🔴 OVERBUDGET", IF(F7&gt;0.8, "🟡 HAMPIR HABIS", "🟢 AMAN"))</f>
        <v>🟢 AMAN</v>
      </c>
    </row>
    <row r="8" ht="21" customHeight="1" spans="1:7" s="21" customFormat="1" x14ac:dyDescent="0.25">
      <c r="A8" s="25">
        <v>5</v>
      </c>
      <c r="B8" s="22" t="s">
        <v>40</v>
      </c>
      <c r="C8" s="24">
        <v>150000</v>
      </c>
      <c r="D8" s="24">
        <f>SUMIFS(Transaksi!G$4:G$200, Transaksi!E$4:E$200, B8, Transaksi!D$4:D$200, "Pengeluaran")</f>
        <v>53000</v>
      </c>
      <c r="E8" s="24">
        <f>C8-D8</f>
        <v>97000</v>
      </c>
      <c r="F8" s="23">
        <f>IF(C8=0,0,D8/C8)</f>
        <v>0.3533</v>
      </c>
      <c r="G8" s="25" t="str">
        <f>IF(D8&gt;C8, "🔴 OVERBUDGET", IF(F8&gt;0.8, "🟡 HAMPIR HABIS", "🟢 AMAN"))</f>
        <v>🟢 AMAN</v>
      </c>
    </row>
    <row r="9" ht="21" customHeight="1" spans="1:7" s="21" customFormat="1" x14ac:dyDescent="0.25">
      <c r="A9" s="29">
        <v>6</v>
      </c>
      <c r="B9" s="26" t="s">
        <v>42</v>
      </c>
      <c r="C9" s="28">
        <v>100000</v>
      </c>
      <c r="D9" s="28">
        <f>SUMIFS(Transaksi!G$4:G$200, Transaksi!E$4:E$200, B9, Transaksi!D$4:D$200, "Pengeluaran")</f>
        <v>50000</v>
      </c>
      <c r="E9" s="28">
        <f>C9-D9</f>
        <v>50000</v>
      </c>
      <c r="F9" s="27">
        <f>IF(C9=0,0,D9/C9)</f>
        <v>0.5</v>
      </c>
      <c r="G9" s="29" t="str">
        <f>IF(D9&gt;C9, "🔴 OVERBUDGET", IF(F9&gt;0.8, "🟡 HAMPIR HABIS", "🟢 AMAN"))</f>
        <v>🟢 AMAN</v>
      </c>
    </row>
    <row r="10" ht="21" customHeight="1" spans="1:7" s="21" customFormat="1" x14ac:dyDescent="0.25">
      <c r="A10" s="25">
        <v>7</v>
      </c>
      <c r="B10" s="22" t="s">
        <v>43</v>
      </c>
      <c r="C10" s="24">
        <v>100000</v>
      </c>
      <c r="D10" s="24">
        <f>SUMIFS(Transaksi!G$4:G$200, Transaksi!E$4:E$200, B10, Transaksi!D$4:D$200, "Pengeluaran")</f>
        <v>85000</v>
      </c>
      <c r="E10" s="24">
        <f>C10-D10</f>
        <v>15000</v>
      </c>
      <c r="F10" s="23">
        <f>IF(C10=0,0,D10/C10)</f>
        <v>0.85</v>
      </c>
      <c r="G10" s="25" t="str">
        <f>IF(D10&gt;C10, "🔴 OVERBUDGET", IF(F10&gt;0.8, "🟡 HAMPIR HABIS", "🟢 AMAN"))</f>
        <v>🟡 HAMPIR HABIS</v>
      </c>
    </row>
    <row r="11" ht="21" customHeight="1" spans="1:7" s="21" customFormat="1" x14ac:dyDescent="0.25">
      <c r="A11" s="29">
        <v>8</v>
      </c>
      <c r="B11" s="26" t="s">
        <v>44</v>
      </c>
      <c r="C11" s="28">
        <v>50000</v>
      </c>
      <c r="D11" s="28">
        <f>SUMIFS(Transaksi!G$4:G$200, Transaksi!E$4:E$200, B11, Transaksi!D$4:D$200, "Pengeluaran")</f>
        <v>25000</v>
      </c>
      <c r="E11" s="28">
        <f>C11-D11</f>
        <v>25000</v>
      </c>
      <c r="F11" s="27">
        <f>IF(C11=0,0,D11/C11)</f>
        <v>0.5</v>
      </c>
      <c r="G11" s="29" t="str">
        <f>IF(D11&gt;C11, "🔴 OVERBUDGET", IF(F11&gt;0.8, "🟡 HAMPIR HABIS", "🟢 AMAN"))</f>
        <v>🟢 AMAN</v>
      </c>
    </row>
    <row r="12" ht="21" customHeight="1" spans="1:7" s="21" customFormat="1" x14ac:dyDescent="0.25">
      <c r="A12" s="25">
        <v>9</v>
      </c>
      <c r="B12" s="22" t="s">
        <v>45</v>
      </c>
      <c r="C12" s="24">
        <v>300000</v>
      </c>
      <c r="D12" s="24">
        <f>SUMIFS(Transaksi!G$4:G$200, Transaksi!E$4:E$200, B12, Transaksi!D$4:D$200, "Pengeluaran")</f>
        <v>300000</v>
      </c>
      <c r="E12" s="24">
        <f>C12-D12</f>
        <v>0</v>
      </c>
      <c r="F12" s="23">
        <f>IF(C12=0,0,D12/C12)</f>
        <v>1</v>
      </c>
      <c r="G12" s="25" t="str">
        <f>IF(D12&gt;=C12, "🟢 TERCAPAI", "🟡 KURANG")</f>
        <v>🟢 TERCAPAI</v>
      </c>
    </row>
    <row r="13" ht="21" customHeight="1" spans="1:7" s="21" customFormat="1" x14ac:dyDescent="0.25">
      <c r="A13" s="29">
        <v>10</v>
      </c>
      <c r="B13" s="26" t="s">
        <v>47</v>
      </c>
      <c r="C13" s="28">
        <v>50000</v>
      </c>
      <c r="D13" s="28">
        <f>SUMIFS(Transaksi!G$4:G$200, Transaksi!E$4:E$200, B13, Transaksi!D$4:D$200, "Pengeluaran")</f>
        <v>0</v>
      </c>
      <c r="E13" s="28">
        <f>C13-D13</f>
        <v>50000</v>
      </c>
      <c r="F13" s="27">
        <f>IF(C13=0,0,D13/C13)</f>
        <v>0</v>
      </c>
      <c r="G13" s="29" t="str">
        <f>IF(D13&gt;C13, "🔴 OVERBUDGET", IF(F13&gt;0.8, "🟡 HAMPIR HABIS", "🟢 AMAN"))</f>
        <v>🟢 AMAN</v>
      </c>
    </row>
    <row r="14" ht="24" customHeight="1" spans="1:7" s="30" customFormat="1" x14ac:dyDescent="0.25">
      <c r="A14" s="31" t="s">
        <v>107</v>
      </c>
      <c r="B14" s="34" t="s">
        <v>49</v>
      </c>
      <c r="C14" s="33">
        <f>SUM(C4:C13)</f>
        <v>2700000</v>
      </c>
      <c r="D14" s="33">
        <f>SUM(D4:D13)</f>
        <v>1658000</v>
      </c>
      <c r="E14" s="33">
        <f>SUM(E4:E13)</f>
        <v>1042000</v>
      </c>
      <c r="F14" s="32">
        <f>D14/C14</f>
        <v>0.614</v>
      </c>
      <c r="G14" s="34" t="str">
        <f>IF(D14&gt;C14, "🔴 OVERBUDGET", "🟢 AMAN")</f>
        <v>🟢 AMAN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D8"/>
  <sheetViews>
    <sheetView workbookViewId="0"/>
  </sheetViews>
  <sheetFormatPr defaultRowHeight="15" outlineLevelRow="0" outlineLevelCol="0" x14ac:dyDescent="55"/>
  <cols>
    <col min="1" max="1" width="42" customWidth="1"/>
    <col min="2" max="2" width="22" customWidth="1"/>
    <col min="3" max="3" width="30" customWidth="1"/>
    <col min="4" max="4" width="56" customWidth="1"/>
  </cols>
  <sheetData>
    <row r="1" ht="28" customHeight="1" spans="1:4" x14ac:dyDescent="0.25">
      <c r="A1" s="35" t="s">
        <v>108</v>
      </c>
      <c r="B1" s="35"/>
      <c r="C1" s="35"/>
      <c r="D1" s="35"/>
    </row>
    <row r="2" ht="18" customHeight="1" spans="1:4" x14ac:dyDescent="0.25">
      <c r="A2" s="2" t="s">
        <v>109</v>
      </c>
      <c r="B2" s="2"/>
      <c r="C2" s="2"/>
      <c r="D2" s="2"/>
    </row>
    <row r="4" ht="24" customHeight="1" spans="1:4" x14ac:dyDescent="0.25">
      <c r="A4" s="19" t="s">
        <v>110</v>
      </c>
      <c r="B4" s="20" t="s">
        <v>111</v>
      </c>
      <c r="C4" s="20" t="s">
        <v>112</v>
      </c>
      <c r="D4" s="20" t="s">
        <v>113</v>
      </c>
    </row>
    <row r="5" ht="24" customHeight="1" spans="1:4" s="21" customFormat="1" x14ac:dyDescent="0.25">
      <c r="A5" s="22" t="s">
        <v>114</v>
      </c>
      <c r="B5" s="36">
        <f>ROUND(Dashboard!B6/12, 0)</f>
        <v>138167</v>
      </c>
      <c r="C5" s="22" t="s">
        <v>115</v>
      </c>
      <c r="D5" s="22" t="s">
        <v>116</v>
      </c>
    </row>
    <row r="6" ht="24" customHeight="1" spans="1:4" s="21" customFormat="1" x14ac:dyDescent="0.25">
      <c r="A6" s="26" t="s">
        <v>117</v>
      </c>
      <c r="B6" s="37">
        <f>Budget!D8</f>
        <v>53000</v>
      </c>
      <c r="C6" s="26" t="s">
        <v>118</v>
      </c>
      <c r="D6" s="26" t="s">
        <v>119</v>
      </c>
    </row>
    <row r="7" ht="24" customHeight="1" spans="1:4" s="21" customFormat="1" x14ac:dyDescent="0.25">
      <c r="A7" s="22" t="s">
        <v>120</v>
      </c>
      <c r="B7" s="23">
        <f>Dashboard!D13/Dashboard!A6</f>
        <v>0.12</v>
      </c>
      <c r="C7" s="22" t="s">
        <v>121</v>
      </c>
      <c r="D7" s="22" t="s">
        <v>122</v>
      </c>
    </row>
    <row r="8" ht="24" customHeight="1" spans="1:4" s="21" customFormat="1" x14ac:dyDescent="0.25">
      <c r="A8" s="26" t="s">
        <v>123</v>
      </c>
      <c r="B8" s="38">
        <f>Dashboard!D11/Dashboard!D12</f>
        <v>4.367</v>
      </c>
      <c r="C8" s="26" t="s">
        <v>124</v>
      </c>
      <c r="D8" s="26" t="s">
        <v>125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B8A6"/>
  </sheetPr>
  <dimension ref="A1:H8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3" width="22" customWidth="1"/>
    <col min="4" max="6" width="20" customWidth="1"/>
    <col min="7" max="7" width="16" customWidth="1"/>
    <col min="8" max="8" width="22" customWidth="1"/>
  </cols>
  <sheetData>
    <row r="1" ht="28" customHeight="1" spans="1:8" x14ac:dyDescent="0.25">
      <c r="A1" s="35" t="s">
        <v>126</v>
      </c>
      <c r="B1" s="35"/>
      <c r="C1" s="35"/>
      <c r="D1" s="35"/>
      <c r="E1" s="35"/>
      <c r="F1" s="35"/>
      <c r="G1" s="35"/>
      <c r="H1" s="35"/>
    </row>
    <row r="2" ht="18" customHeight="1" spans="1:8" x14ac:dyDescent="0.25">
      <c r="A2" s="2" t="s">
        <v>127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19" t="s">
        <v>52</v>
      </c>
      <c r="B3" s="19" t="s">
        <v>128</v>
      </c>
      <c r="C3" s="20" t="s">
        <v>129</v>
      </c>
      <c r="D3" s="20" t="s">
        <v>130</v>
      </c>
      <c r="E3" s="20" t="s">
        <v>131</v>
      </c>
      <c r="F3" s="20" t="s">
        <v>132</v>
      </c>
      <c r="G3" s="20" t="s">
        <v>133</v>
      </c>
      <c r="H3" s="20" t="s">
        <v>134</v>
      </c>
    </row>
    <row r="4" ht="21" customHeight="1" spans="1:8" s="21" customFormat="1" x14ac:dyDescent="0.25">
      <c r="A4" s="25">
        <v>1</v>
      </c>
      <c r="B4" s="22" t="s">
        <v>135</v>
      </c>
      <c r="C4" s="25" t="s">
        <v>136</v>
      </c>
      <c r="D4" s="24">
        <v>4500000</v>
      </c>
      <c r="E4" s="24">
        <v>1800000</v>
      </c>
      <c r="F4" s="24">
        <f>D4-E4</f>
        <v>2700000</v>
      </c>
      <c r="G4" s="23">
        <f>E4/D4</f>
        <v>0.4</v>
      </c>
      <c r="H4" s="25" t="str">
        <f>IF(G4&gt;=1, "🟢 TERCAPAI", IF(G4&gt;=0.5, "🟡 BERJALAN BAIK", "⚪ PROSES AWAL"))</f>
        <v>⚪ PROSES AWAL</v>
      </c>
    </row>
    <row r="5" ht="21" customHeight="1" spans="1:8" s="21" customFormat="1" x14ac:dyDescent="0.25">
      <c r="A5" s="29">
        <v>2</v>
      </c>
      <c r="B5" s="26" t="s">
        <v>137</v>
      </c>
      <c r="C5" s="29" t="s">
        <v>138</v>
      </c>
      <c r="D5" s="28">
        <v>8000000</v>
      </c>
      <c r="E5" s="28">
        <v>3200000</v>
      </c>
      <c r="F5" s="28">
        <f>D5-E5</f>
        <v>4800000</v>
      </c>
      <c r="G5" s="27">
        <f>E5/D5</f>
        <v>0.4</v>
      </c>
      <c r="H5" s="29" t="str">
        <f>IF(G5&gt;=1, "🟢 TERCAPAI", IF(G5&gt;=0.5, "🟡 BERJALAN BAIK", "⚪ PROSES AWAL"))</f>
        <v>⚪ PROSES AWAL</v>
      </c>
    </row>
    <row r="6" ht="21" customHeight="1" spans="1:8" s="21" customFormat="1" x14ac:dyDescent="0.25">
      <c r="A6" s="25">
        <v>3</v>
      </c>
      <c r="B6" s="22" t="s">
        <v>139</v>
      </c>
      <c r="C6" s="25" t="s">
        <v>140</v>
      </c>
      <c r="D6" s="24">
        <v>1500000</v>
      </c>
      <c r="E6" s="24">
        <v>1000000</v>
      </c>
      <c r="F6" s="24">
        <f>D6-E6</f>
        <v>500000</v>
      </c>
      <c r="G6" s="23">
        <f>E6/D6</f>
        <v>0.6667</v>
      </c>
      <c r="H6" s="25" t="str">
        <f>IF(G6&gt;=1, "🟢 TERCAPAI", IF(G6&gt;=0.5, "🟡 BERJALAN BAIK", "⚪ PROSES AWAL"))</f>
        <v>🟡 BERJALAN BAIK</v>
      </c>
    </row>
    <row r="7" ht="21" customHeight="1" spans="1:8" s="21" customFormat="1" x14ac:dyDescent="0.25">
      <c r="A7" s="29">
        <v>4</v>
      </c>
      <c r="B7" s="26" t="s">
        <v>141</v>
      </c>
      <c r="C7" s="29" t="s">
        <v>142</v>
      </c>
      <c r="D7" s="28">
        <v>2000000</v>
      </c>
      <c r="E7" s="28">
        <v>750000</v>
      </c>
      <c r="F7" s="28">
        <f>D7-E7</f>
        <v>1250000</v>
      </c>
      <c r="G7" s="27">
        <f>E7/D7</f>
        <v>0.375</v>
      </c>
      <c r="H7" s="29" t="str">
        <f>IF(G7&gt;=1, "🟢 TERCAPAI", IF(G7&gt;=0.5, "🟡 BERJALAN BAIK", "⚪ PROSES AWAL"))</f>
        <v>⚪ PROSES AWAL</v>
      </c>
    </row>
    <row r="8" ht="24" customHeight="1" spans="1:8" s="30" customFormat="1" x14ac:dyDescent="0.25">
      <c r="A8" s="31" t="s">
        <v>143</v>
      </c>
      <c r="B8" s="34" t="s">
        <v>144</v>
      </c>
      <c r="C8" s="34" t="s">
        <v>145</v>
      </c>
      <c r="D8" s="33">
        <f>SUM(D4:D7)</f>
        <v>16000000</v>
      </c>
      <c r="E8" s="33">
        <f>SUM(E4:E7)</f>
        <v>6750000</v>
      </c>
      <c r="F8" s="33">
        <f>SUM(F4:F7)</f>
        <v>9250000</v>
      </c>
      <c r="G8" s="32">
        <f>E8/D8</f>
        <v>0.4218</v>
      </c>
      <c r="H8" s="34" t="str">
        <f>IF(G8&gt;=1, "🟢 TERCAPAI", "🟡 SEDANG BERJALAN")</f>
        <v>🟡 SEDANG BERJALAN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Transaksi</vt:lpstr>
      <vt:lpstr>Budget</vt:lpstr>
      <vt:lpstr>Analisis</vt:lpstr>
      <vt:lpstr>Tabungan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FINUSA Academic Financial Engine</dc:creator>
  <dc:title/>
  <dc:subject/>
  <dc:description/>
  <cp:keywords/>
  <cp:category/>
  <cp:lastModifiedBy>FINUSA Financial Literacy</cp:lastModifiedBy>
  <dcterms:created xsi:type="dcterms:W3CDTF">2026-09-12T05:30:13Z</dcterms:created>
  <dcterms:modified xsi:type="dcterms:W3CDTF">2026-09-12T05:30:13Z</dcterms:modified>
</cp:coreProperties>
</file>